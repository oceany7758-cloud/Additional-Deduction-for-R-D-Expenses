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960" tabRatio="886" activeTab="5"/>
  </bookViews>
  <sheets>
    <sheet name="业务功能需求清单" sheetId="9" r:id="rId1"/>
    <sheet name="标准科目映射" sheetId="1" r:id="rId2"/>
    <sheet name="费用分摊规则" sheetId="12" r:id="rId3"/>
    <sheet name="限额计算规则" sheetId="11" r:id="rId4"/>
    <sheet name="研发项目信息" sheetId="3" r:id="rId5"/>
    <sheet name="资本化结转" sheetId="6" r:id="rId6"/>
    <sheet name="研发人员信息" sheetId="4" r:id="rId7"/>
    <sheet name="研发资产信息" sheetId="5" r:id="rId8"/>
    <sheet name="研发组织信息" sheetId="14" r:id="rId9"/>
    <sheet name="研发档案信息" sheetId="8" r:id="rId10"/>
    <sheet name="账簿管理" sheetId="17" r:id="rId11"/>
    <sheet name="对账管理" sheetId="16" r:id="rId12"/>
    <sheet name="结账管理" sheetId="19" r:id="rId13"/>
    <sheet name="生成辅助账" sheetId="15" r:id="rId14"/>
    <sheet name="其他费用限额计算" sheetId="18" r:id="rId15"/>
    <sheet name="2021版研发支出辅助账" sheetId="22" r:id="rId16"/>
    <sheet name="2021版研发支出辅助账汇总表" sheetId="21" r:id="rId17"/>
    <sheet name="研发费用加计扣除优惠明细表" sheetId="20" r:id="rId18"/>
    <sheet name="企业研发费用明细账表ODS" sheetId="2" r:id="rId19"/>
    <sheet name="月度折旧摊销明细" sheetId="10" r:id="rId20"/>
    <sheet name="设备运行记录表" sheetId="13" r:id="rId21"/>
    <sheet name="辅助账源数据类型" sheetId="7"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wxf10</author>
  </authors>
  <commentList>
    <comment ref="D2" authorId="0">
      <text>
        <r>
          <rPr>
            <b/>
            <sz val="9"/>
            <rFont val="宋体"/>
            <charset val="134"/>
          </rPr>
          <t>wxf10:</t>
        </r>
        <r>
          <rPr>
            <sz val="9"/>
            <rFont val="宋体"/>
            <charset val="134"/>
          </rPr>
          <t xml:space="preserve">
标签可以多选</t>
        </r>
      </text>
    </comment>
  </commentList>
</comments>
</file>

<file path=xl/comments2.xml><?xml version="1.0" encoding="utf-8"?>
<comments xmlns="http://schemas.openxmlformats.org/spreadsheetml/2006/main">
  <authors>
    <author>Admin</author>
    <author>KJFWW</author>
  </authors>
  <commentList>
    <comment ref="B7" authorId="0">
      <text>
        <r>
          <rPr>
            <b/>
            <sz val="9"/>
            <rFont val="宋体"/>
            <charset val="134"/>
          </rPr>
          <t>Admin:</t>
        </r>
        <r>
          <rPr>
            <sz val="9"/>
            <rFont val="宋体"/>
            <charset val="134"/>
          </rPr>
          <t xml:space="preserve">
项目编号需要包含字母</t>
        </r>
      </text>
    </comment>
    <comment ref="T7" authorId="1">
      <text>
        <r>
          <rPr>
            <sz val="9"/>
            <rFont val="宋体"/>
            <charset val="134"/>
          </rPr>
          <t>研发形式为“委托研发”填写“存在”或“不存在”，研发形式为“自主研发”、“合作研发”、“集中研发”不需填写本选项</t>
        </r>
      </text>
    </comment>
    <comment ref="U7" authorId="1">
      <text>
        <r>
          <rPr>
            <sz val="9"/>
            <rFont val="宋体"/>
            <charset val="134"/>
          </rPr>
          <t>研发形式为“委托研发”的填写“委托境内”或“委托境外”，研发形式为“自主研发”、“合作研发”、“集中研发”不需填写本选项</t>
        </r>
      </text>
    </comment>
    <comment ref="X7" authorId="1">
      <text>
        <r>
          <rPr>
            <sz val="9"/>
            <rFont val="宋体"/>
            <charset val="134"/>
          </rPr>
          <t>属于科技计划项目时需选择项目级别</t>
        </r>
      </text>
    </comment>
    <comment ref="Y7" authorId="1">
      <text>
        <r>
          <rPr>
            <sz val="9"/>
            <rFont val="宋体"/>
            <charset val="134"/>
          </rPr>
          <t>项目级别为省级或者国家级时，请输入科技计划项目编号</t>
        </r>
      </text>
    </comment>
  </commentList>
</comments>
</file>

<file path=xl/sharedStrings.xml><?xml version="1.0" encoding="utf-8"?>
<sst xmlns="http://schemas.openxmlformats.org/spreadsheetml/2006/main" count="1378" uniqueCount="1129">
  <si>
    <t>一级菜单</t>
  </si>
  <si>
    <t>二级菜单</t>
  </si>
  <si>
    <t>三级菜单</t>
  </si>
  <si>
    <t>备注</t>
  </si>
  <si>
    <t>研发费用管理</t>
  </si>
  <si>
    <t>基础配置管理</t>
  </si>
  <si>
    <t>标准科目映射</t>
  </si>
  <si>
    <t>企业会计科目与研发费用标准科目映射，沿用原科目映射和标准科目体系，标准科目增加管理用途标记。</t>
  </si>
  <si>
    <t>费用分摊规则</t>
  </si>
  <si>
    <t>（人工人员费用、资产折旧、无形资产摊销、材料费用、其他摊销费用）</t>
  </si>
  <si>
    <t>限额计算规则</t>
  </si>
  <si>
    <t>（限额场景、限额科目、限额计算规则【按项目、按总额组织】、限额分摊规则）</t>
  </si>
  <si>
    <t>辅助账样式</t>
  </si>
  <si>
    <t>（先做加计扣除2021版）</t>
  </si>
  <si>
    <t>辅助账差异阈值</t>
  </si>
  <si>
    <t>按公司配置，用于在费用明细数据源与研发费用明细账比对环节，提示比对异常的判断条件。</t>
  </si>
  <si>
    <t>项目信息管理</t>
  </si>
  <si>
    <t>研发活动看板</t>
  </si>
  <si>
    <t>（二期）【研发项目数量（新立项、研发中、已结项）、不同口径研发费用金额、限额费用超比例情况等】</t>
  </si>
  <si>
    <t>研发项目信息</t>
  </si>
  <si>
    <t>含【资本化结转】操作</t>
  </si>
  <si>
    <t>研发人员信息</t>
  </si>
  <si>
    <t>研发资产信息</t>
  </si>
  <si>
    <t>研发组织信息</t>
  </si>
  <si>
    <t>集中研发费用分摊会使用其中的组织信息。也可以在项目中直接维护，不集中维护。</t>
  </si>
  <si>
    <t>研发档案信息</t>
  </si>
  <si>
    <t>研发成果信息</t>
  </si>
  <si>
    <t>（二期）</t>
  </si>
  <si>
    <t>研发辅助判断</t>
  </si>
  <si>
    <t>辅助账管理</t>
  </si>
  <si>
    <t>账簿管理</t>
  </si>
  <si>
    <t>分摊动因数据源</t>
  </si>
  <si>
    <t>每期分摊对象数据维护，工资数据维护由单独权限管理，或者直接录入分摊比例依据。一期可以先实现部分动因场景</t>
  </si>
  <si>
    <t>费用明细数据源</t>
  </si>
  <si>
    <t>采集进行归集计算和分摊计算的数据源，支持接口对接、数据导入或手工录入</t>
  </si>
  <si>
    <t>研发费用明细账</t>
  </si>
  <si>
    <t>工资薪酬明细表</t>
  </si>
  <si>
    <t>折旧摊销明细表</t>
  </si>
  <si>
    <t>物料领用台账</t>
  </si>
  <si>
    <t>费用报销台账</t>
  </si>
  <si>
    <t>资本化项目摊销计算</t>
  </si>
  <si>
    <t>自动计算资本化结转部分的无形资产摊销</t>
  </si>
  <si>
    <t>自动生成辅助账</t>
  </si>
  <si>
    <t>源数据校验</t>
  </si>
  <si>
    <t>除依据【研发费用明细账】数据源归集分摊外，其他费用明细数据源的数据都需先与研发费用明细账数据源进行匹配和总额比对</t>
  </si>
  <si>
    <t>费用归集计算</t>
  </si>
  <si>
    <t>费用分摊计算</t>
  </si>
  <si>
    <t>生成辅助账</t>
  </si>
  <si>
    <t>手工录入辅助账</t>
  </si>
  <si>
    <t>特殊事项调整，支持手工录入项目辅助账</t>
  </si>
  <si>
    <t>其他费用限额计算</t>
  </si>
  <si>
    <t>对账管理</t>
  </si>
  <si>
    <t>结账管理</t>
  </si>
  <si>
    <t>辅助账查询</t>
  </si>
  <si>
    <t>（一期2021版，二期按不同样式、不同口径；辅助账生成查询明细数据的逻辑规则；按项目、期间查询</t>
  </si>
  <si>
    <t>辅助账导入</t>
  </si>
  <si>
    <t>辅助账汇总表查询</t>
  </si>
  <si>
    <t>按公司、期间查询</t>
  </si>
  <si>
    <t>加计扣除明细表查询</t>
  </si>
  <si>
    <t>按期创建、保存、查询</t>
  </si>
  <si>
    <t>后续管理</t>
  </si>
  <si>
    <t>事后核查流程配置</t>
  </si>
  <si>
    <t>事后核查任务管理</t>
  </si>
  <si>
    <t>研发费管理报表</t>
  </si>
  <si>
    <t>研发费风险管理</t>
  </si>
  <si>
    <t>政策案例</t>
  </si>
  <si>
    <t>负面行业清单</t>
  </si>
  <si>
    <t>研发加计操作指引</t>
  </si>
  <si>
    <t>加计扣除项目鉴定案例</t>
  </si>
  <si>
    <t>科目设置原则：一项费用在不同口径用途中归集范围存在差异的，必须单列明细会计科目，便于后续通过辅助账实现多口径数据自动转换。</t>
  </si>
  <si>
    <t>待后续逐步完善标准科目，覆盖全场景需求</t>
  </si>
  <si>
    <t>标准科目编码</t>
  </si>
  <si>
    <t>标准科目名称</t>
  </si>
  <si>
    <t>描述</t>
  </si>
  <si>
    <t>标准科目管理口径</t>
  </si>
  <si>
    <t>5301</t>
  </si>
  <si>
    <t>研发费用</t>
  </si>
  <si>
    <t>高新认证</t>
  </si>
  <si>
    <t>研发支出</t>
  </si>
  <si>
    <t>5301.01</t>
  </si>
  <si>
    <t>研发费用-费用化支出</t>
  </si>
  <si>
    <t>会计核算</t>
  </si>
  <si>
    <t>530101</t>
  </si>
  <si>
    <t>研发支出-费用化支出</t>
  </si>
  <si>
    <t>5301.01.01</t>
  </si>
  <si>
    <t>研发费用-费用化支出-人员人工费用</t>
  </si>
  <si>
    <t>加计扣除</t>
  </si>
  <si>
    <t>53010101</t>
  </si>
  <si>
    <t>研发支出-费用化支出-职工薪酬</t>
  </si>
  <si>
    <t>5301.01.01.01</t>
  </si>
  <si>
    <t>研发费用-费用化支出-人员人工费用-工资薪金</t>
  </si>
  <si>
    <t>5301010101</t>
  </si>
  <si>
    <t>研发支出-费用化支出-职工薪酬-工资薪金支出</t>
  </si>
  <si>
    <t>5301.01.01.02</t>
  </si>
  <si>
    <t>研发费用-费用化支出-人员人工费用-股权激励</t>
  </si>
  <si>
    <t>530101010101</t>
  </si>
  <si>
    <t>研发支出-费用化支出-职工薪酬-工资薪金支出-工资薪金</t>
  </si>
  <si>
    <t>5301.01.01.03</t>
  </si>
  <si>
    <t>研发费用-费用化支出-人员人工费用-养老保险费</t>
  </si>
  <si>
    <t>530101010102</t>
  </si>
  <si>
    <t>研发支出-费用化支出-职工薪酬-工资薪金支出-股权激励</t>
  </si>
  <si>
    <t>5301.01.01.04</t>
  </si>
  <si>
    <t>研发费用-费用化支出-人员人工费用-医疗保险费</t>
  </si>
  <si>
    <t>5301010102</t>
  </si>
  <si>
    <t>研发支出-费用化支出-职工薪酬-职工福利费</t>
  </si>
  <si>
    <t>5301.01.01.05</t>
  </si>
  <si>
    <t>研发费用-费用化支出-人员人工费用-失业保险费</t>
  </si>
  <si>
    <t>5301010103</t>
  </si>
  <si>
    <t>研发支出-费用化支出-职工薪酬-职工教育经费</t>
  </si>
  <si>
    <t>5301.01.01.06</t>
  </si>
  <si>
    <t>研发费用-费用化支出-人员人工费用-工伤保险费</t>
  </si>
  <si>
    <t>530101010301</t>
  </si>
  <si>
    <t>研发支出-费用化支出-职工薪酬-职工教育经费-职工培训费</t>
  </si>
  <si>
    <t>5301.01.01.07</t>
  </si>
  <si>
    <t>研发费用-费用化支出-人员人工费用-生育保险费</t>
  </si>
  <si>
    <t>530101010399</t>
  </si>
  <si>
    <t>研发支出-费用化支出-职工薪酬-职工教育经费-其他</t>
  </si>
  <si>
    <t>5301.01.01.08</t>
  </si>
  <si>
    <t>研发费用-费用化支出-人员人工费用-住房公积金</t>
  </si>
  <si>
    <t>5301010104</t>
  </si>
  <si>
    <t>研发支出-费用化支出-职工薪酬-工会经费</t>
  </si>
  <si>
    <t>5301.01.01.09</t>
  </si>
  <si>
    <t>研发费用-费用化支出-人员人工费用-外聘劳务费</t>
  </si>
  <si>
    <t>5301010105</t>
  </si>
  <si>
    <t>研发支出-费用化支出-职工薪酬-社会保险费</t>
  </si>
  <si>
    <t>5301.01.02</t>
  </si>
  <si>
    <t>研发费用-费用化支出-直接投入费用</t>
  </si>
  <si>
    <t>530101010501</t>
  </si>
  <si>
    <t>研发支出-费用化支出-职工薪酬-社会保险费-基本养老保险</t>
  </si>
  <si>
    <t>5301.01.02.01</t>
  </si>
  <si>
    <t>研发费用-费用化支出-直接投入费用-材料费</t>
  </si>
  <si>
    <t>530101010502</t>
  </si>
  <si>
    <t>研发支出-费用化支出-职工薪酬-社会保险费-基本医疗保险</t>
  </si>
  <si>
    <t>5301.01.02.02</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</si>
  <si>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直接投入费用-燃料费</t>
    </r>
  </si>
  <si>
    <t>530101010503</t>
  </si>
  <si>
    <t>研发支出-费用化支出-职工薪酬-社会保险费-生育保险</t>
  </si>
  <si>
    <t>5301.01.02.03</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</si>
  <si>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直接投入费用-动力费</t>
    </r>
  </si>
  <si>
    <t>530101010504</t>
  </si>
  <si>
    <t>研发支出-费用化支出-职工薪酬-社会保险费-工伤保险</t>
  </si>
  <si>
    <t>5301.01.02.04</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</si>
  <si>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直接投入费用-模具及工艺装备开发制造费</t>
    </r>
  </si>
  <si>
    <t>530101010505</t>
  </si>
  <si>
    <t>研发支出-费用化支出-职工薪酬-社会保险费-失业保险</t>
  </si>
  <si>
    <t>5301.01.02.05</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</si>
  <si>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直接投入费用-样品样机及一般测试手段购置费</t>
    </r>
  </si>
  <si>
    <t>530101010599</t>
  </si>
  <si>
    <t>研发支出-费用化支出-职工薪酬-社会保险费-其他保险</t>
  </si>
  <si>
    <t>5301.01.02.06</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</si>
  <si>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直接投入费用-试制产品检验费</t>
    </r>
  </si>
  <si>
    <t>5301010106</t>
  </si>
  <si>
    <t>研发支出-费用化支出-职工薪酬-住房公积金</t>
  </si>
  <si>
    <t>5301.01.02.07</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</si>
  <si>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直接投入费用-仪器设备运维、调检、维修费</t>
    </r>
  </si>
  <si>
    <t>5301010107</t>
  </si>
  <si>
    <t>研发支出-费用化支出-职工薪酬-补充养老保险</t>
  </si>
  <si>
    <t>5301.01.02.08</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</si>
  <si>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直接投入费用-仪器设备租赁费</t>
    </r>
  </si>
  <si>
    <t>5301010108</t>
  </si>
  <si>
    <t>研发支出-费用化支出-职工薪酬-补充医疗保险</t>
  </si>
  <si>
    <t>5301.01.02.09</t>
  </si>
  <si>
    <r>
      <rPr>
        <sz val="12"/>
        <color rgb="FF0F1115"/>
        <rFont val="宋体"/>
        <charset val="134"/>
      </rPr>
      <t>研发费用</t>
    </r>
    <r>
      <rPr>
        <sz val="12"/>
        <color rgb="FF0F1115"/>
        <rFont val="Segoe UI"/>
        <charset val="134"/>
      </rPr>
      <t>-</t>
    </r>
    <r>
      <rPr>
        <sz val="12"/>
        <color rgb="FF0F1115"/>
        <rFont val="宋体"/>
        <charset val="134"/>
      </rPr>
      <t>费用化支出</t>
    </r>
    <r>
      <rPr>
        <sz val="12"/>
        <color rgb="FF0F1115"/>
        <rFont val="Segoe UI"/>
        <charset val="134"/>
      </rPr>
      <t>-</t>
    </r>
    <r>
      <rPr>
        <sz val="12"/>
        <color rgb="FF0F1115"/>
        <rFont val="宋体"/>
        <charset val="134"/>
      </rPr>
      <t>直接投入费用-房屋场地租赁费</t>
    </r>
  </si>
  <si>
    <t>5301010109</t>
  </si>
  <si>
    <t>研发支出-费用化支出-职工薪酬-辞退福利</t>
  </si>
  <si>
    <t>5301.01.03</t>
  </si>
  <si>
    <t>研发费用-费用化支出-折旧费用</t>
  </si>
  <si>
    <t>5301010110</t>
  </si>
  <si>
    <t>研发支出-费用化支出-职工薪酬-统筹外人员费用</t>
  </si>
  <si>
    <t>5301.01.03.01</t>
  </si>
  <si>
    <t>研发费用-费用化支出-折旧费用-研发用仪器折旧费</t>
  </si>
  <si>
    <t>5301010111</t>
  </si>
  <si>
    <t>研发支出-费用化支出-职工薪酬-非货币性福利</t>
  </si>
  <si>
    <t>5301.01.03.02</t>
  </si>
  <si>
    <t>研发费用-费用化支出-折旧费用-研发用设备折旧费</t>
  </si>
  <si>
    <t>5301010112</t>
  </si>
  <si>
    <t>研发支出-费用化支出-职工薪酬-股份支付</t>
  </si>
  <si>
    <t>5301.01.04</t>
  </si>
  <si>
    <t>研发费用-费用化支出-无形资产摊销</t>
  </si>
  <si>
    <t>5301010113</t>
  </si>
  <si>
    <t>研发支出-费用化支出-职工薪酬-住房补贴</t>
  </si>
  <si>
    <t>5301.01.04.01</t>
  </si>
  <si>
    <t>研发费用-费用化支出-无形资产摊销-软件摊销</t>
  </si>
  <si>
    <t>5301010114</t>
  </si>
  <si>
    <t>研发支出-费用化支出-职工薪酬-非合同制薪酬</t>
  </si>
  <si>
    <t>5301.01.04.02</t>
  </si>
  <si>
    <t>研发费用-费用化支出-无形资产摊销-专利权摊销</t>
  </si>
  <si>
    <t>5301010115</t>
  </si>
  <si>
    <t>研发支出-费用化支出-职工薪酬-企业年金</t>
  </si>
  <si>
    <t>5301.01.04.03</t>
  </si>
  <si>
    <t>研发费用-费用化支出-无形资产摊销-非专利技术摊销</t>
  </si>
  <si>
    <t>包括许可证、专有技术、设计和计算方法等</t>
  </si>
  <si>
    <t>5301010116</t>
  </si>
  <si>
    <t>研发支出-费用化支出-职工薪酬-大病医疗保险</t>
  </si>
  <si>
    <t>5301.01.05</t>
  </si>
  <si>
    <t>研发费用-费用化支出-设计试验费用</t>
  </si>
  <si>
    <t>5301010117</t>
  </si>
  <si>
    <t>研发支出-费用化支出-职工薪酬-其他劳动保险</t>
  </si>
  <si>
    <t>5301.01.05.01</t>
  </si>
  <si>
    <t>研发费用-费用化支出-设计试验费用-新产品设计费</t>
  </si>
  <si>
    <t>5301010199</t>
  </si>
  <si>
    <t>研发支出-费用化支出-职工薪酬-其他</t>
  </si>
  <si>
    <t>5301.01.05.02</t>
  </si>
  <si>
    <t>研发费用-费用化支出-设计试验费用-新工艺规程制定费</t>
  </si>
  <si>
    <t>53010102</t>
  </si>
  <si>
    <t>研发支出-费用化支出-外聘人员劳务费</t>
  </si>
  <si>
    <t>5301.01.05.03</t>
  </si>
  <si>
    <t>研发费用-费用化支出-设计试验费用-新药临床试验费</t>
  </si>
  <si>
    <t>53010103</t>
  </si>
  <si>
    <t>研发支出-费用化支出-直接投入费用</t>
  </si>
  <si>
    <t>5301.01.05.04</t>
  </si>
  <si>
    <t>研发费用-费用化支出-设计试验费用-勘探现场试验费</t>
  </si>
  <si>
    <t>53010104</t>
  </si>
  <si>
    <t>研发支出-费用化支出-累计折旧</t>
  </si>
  <si>
    <t>5301.01.05.99</t>
  </si>
  <si>
    <t>研发费用-费用化支出-设计试验费用-其他费用</t>
  </si>
  <si>
    <t>53010105</t>
  </si>
  <si>
    <t>研发支出-费用化支出-累计摊销</t>
  </si>
  <si>
    <t>5301.01.06</t>
  </si>
  <si>
    <t>研发费用-费用化支出-其他相关费用</t>
  </si>
  <si>
    <t>53010106</t>
  </si>
  <si>
    <t>研发支出-费用化支出-长期待摊费用</t>
  </si>
  <si>
    <t>5301.01.06.01</t>
  </si>
  <si>
    <t>研发费用-费用化支出-其他相关费用-技术图书资料费</t>
  </si>
  <si>
    <t>53010107</t>
  </si>
  <si>
    <t>研发支出-费用化支出-设计费用</t>
  </si>
  <si>
    <t>5301.01.06.02</t>
  </si>
  <si>
    <t>研发费用-费用化支出-其他相关费用-资料翻译费</t>
  </si>
  <si>
    <t>53010108</t>
  </si>
  <si>
    <t>研发支出-费用化支出-调试费</t>
  </si>
  <si>
    <t>5301.01.06.03</t>
  </si>
  <si>
    <t>研发费用-费用化支出-其他相关费用-专家咨询费</t>
  </si>
  <si>
    <t>53010109</t>
  </si>
  <si>
    <t>研发支出-费用化支出-实验费</t>
  </si>
  <si>
    <t>5301.01.06.04</t>
  </si>
  <si>
    <t>研发费用-费用化支出-其他相关费用-高新科技研发保险费</t>
  </si>
  <si>
    <t>53010110</t>
  </si>
  <si>
    <t>研发支出-费用化支出-外部研发费用</t>
  </si>
  <si>
    <t>5301.01.06.05</t>
  </si>
  <si>
    <t>研发费用-费用化支出-其他相关费用-研发成果相关服务费</t>
  </si>
  <si>
    <t>研发成果检索、分析、评议、论证、鉴定、评审、评估、验收费用</t>
  </si>
  <si>
    <t>5301011001</t>
  </si>
  <si>
    <t>研发支出-费用化支出-外部研发费用-境外</t>
  </si>
  <si>
    <t>5301.01.06.06</t>
  </si>
  <si>
    <t>研发费用-费用化支出-其他相关费用-知识产权事务费</t>
  </si>
  <si>
    <t>知识产权申请费、注册费、代理费</t>
  </si>
  <si>
    <t>5301011002</t>
  </si>
  <si>
    <t>研发支出-费用化支出-外部研发费用-境内</t>
  </si>
  <si>
    <t>5301.01.06.07</t>
  </si>
  <si>
    <t>研发费用-费用化支出-其他相关费用-研发活动差旅费</t>
  </si>
  <si>
    <t>53010199</t>
  </si>
  <si>
    <t>研发支出-费用化支出-其他费用</t>
  </si>
  <si>
    <t>5301.01.06.08</t>
  </si>
  <si>
    <t>研发费用-费用化支出-其他相关费用-研发活动会议费</t>
  </si>
  <si>
    <t>5301019901</t>
  </si>
  <si>
    <t>研发支出-费用化支出-其他费用-业务招待费</t>
  </si>
  <si>
    <t>5301.01.06.09</t>
  </si>
  <si>
    <t>研发费用-费用化支出-其他相关费用-研发人员职工福利费</t>
  </si>
  <si>
    <t>5301019902</t>
  </si>
  <si>
    <t>研发支出-费用化支出-其他费用-高新口径</t>
  </si>
  <si>
    <t>5301.01.06.10</t>
  </si>
  <si>
    <t>研发费用-费用化支出-其他相关费用-研发人员补充养老保险费</t>
  </si>
  <si>
    <t>5301019999</t>
  </si>
  <si>
    <t>研发支出-费用化支出-其他费用-其他</t>
  </si>
  <si>
    <t>5301.01.06.11</t>
  </si>
  <si>
    <t>研发费用-费用化支出-其他相关费用-研发人员补充医疗保险费</t>
  </si>
  <si>
    <t>530102</t>
  </si>
  <si>
    <t>研发支出-资本化支出</t>
  </si>
  <si>
    <t>53010201</t>
  </si>
  <si>
    <t>研发支出-资本化支出-职工薪酬</t>
  </si>
  <si>
    <t>5301.02</t>
  </si>
  <si>
    <t>研发费用-资本化支出</t>
  </si>
  <si>
    <t>5301020101</t>
  </si>
  <si>
    <t>研发支出-资本化支出-职工薪酬-工资薪金支出</t>
  </si>
  <si>
    <t>···</t>
  </si>
  <si>
    <t>530102010101</t>
  </si>
  <si>
    <t>研发支出-资本化支出-职工薪酬-工资薪金支出-工资薪金</t>
  </si>
  <si>
    <t>5301.20</t>
  </si>
  <si>
    <t>研发费用-加计扣除限额调整</t>
  </si>
  <si>
    <t>530102010102</t>
  </si>
  <si>
    <t>研发支出-资本化支出-职工薪酬-工资薪金支出-股权激励</t>
  </si>
  <si>
    <t>5301.20.01</t>
  </si>
  <si>
    <t>研发费用-加计扣除限额调整-其他相关费用调整总额</t>
  </si>
  <si>
    <t>5301020102</t>
  </si>
  <si>
    <t>研发支出-资本化支出-职工薪酬-职工福利费</t>
  </si>
  <si>
    <t>5301.20.02</t>
  </si>
  <si>
    <t>研发费用-加计扣除限额调整-费用化项目限额调整额</t>
  </si>
  <si>
    <t>5301020103</t>
  </si>
  <si>
    <t>研发支出-资本化支出-职工薪酬-职工教育经费</t>
  </si>
  <si>
    <t>5301.20.03</t>
  </si>
  <si>
    <t>研发费用-加计扣除限额调整-资本化项目限额调整额</t>
  </si>
  <si>
    <t>530102010301</t>
  </si>
  <si>
    <t>研发支出-资本化支出-职工薪酬-职工教育经费-职工培训费</t>
  </si>
  <si>
    <t>5301.21</t>
  </si>
  <si>
    <t>研发费用-高新认定限额调整</t>
  </si>
  <si>
    <t>530102010399</t>
  </si>
  <si>
    <t>研发支出-资本化支出-职工薪酬-职工教育经费-其他</t>
  </si>
  <si>
    <t>研发费用-高新认定限额调整-其他相关费用调整总额</t>
  </si>
  <si>
    <t>5301020104</t>
  </si>
  <si>
    <t>研发支出-资本化支出-职工薪酬-工会经费</t>
  </si>
  <si>
    <t>5301020105</t>
  </si>
  <si>
    <t>研发支出-资本化支出-职工薪酬-社会保险费</t>
  </si>
  <si>
    <t>530102010501</t>
  </si>
  <si>
    <t>研发支出-资本化支出-职工薪酬-社会保险费-基本养老保险</t>
  </si>
  <si>
    <t>530102010502</t>
  </si>
  <si>
    <t>研发支出-资本化支出-职工薪酬-社会保险费-基本医疗保险</t>
  </si>
  <si>
    <t>530102010503</t>
  </si>
  <si>
    <t>研发支出-资本化支出-职工薪酬-社会保险费-生育保险</t>
  </si>
  <si>
    <t>530102010504</t>
  </si>
  <si>
    <t>研发支出-资本化支出-职工薪酬-社会保险费-工伤保险</t>
  </si>
  <si>
    <t>530102010505</t>
  </si>
  <si>
    <t>研发支出-资本化支出-职工薪酬-社会保险费-失业保险</t>
  </si>
  <si>
    <t>530102010599</t>
  </si>
  <si>
    <t>研发支出-资本化支出-职工薪酬-社会保险费-其他保险</t>
  </si>
  <si>
    <t>5301020106</t>
  </si>
  <si>
    <t>研发支出-资本化支出-职工薪酬-住房公积金</t>
  </si>
  <si>
    <t>5301020107</t>
  </si>
  <si>
    <t>研发支出-资本化支出-职工薪酬-补充养老保险</t>
  </si>
  <si>
    <t>5301020108</t>
  </si>
  <si>
    <t>研发支出-资本化支出-职工薪酬-补充医疗保险</t>
  </si>
  <si>
    <t>5301020109</t>
  </si>
  <si>
    <t>研发支出-资本化支出-职工薪酬-辞退福利</t>
  </si>
  <si>
    <t>5301020110</t>
  </si>
  <si>
    <t>研发支出-资本化支出-职工薪酬-统筹外人员费用</t>
  </si>
  <si>
    <t>5301020111</t>
  </si>
  <si>
    <t>研发支出-资本化支出-职工薪酬-非货币性福利</t>
  </si>
  <si>
    <t>5301020112</t>
  </si>
  <si>
    <t>研发支出-资本化支出-职工薪酬-股份支付</t>
  </si>
  <si>
    <t>5301020113</t>
  </si>
  <si>
    <t>研发支出-资本化支出-职工薪酬-住房补贴</t>
  </si>
  <si>
    <t>5301020114</t>
  </si>
  <si>
    <t>研发支出-资本化支出-职工薪酬-非合同制薪酬</t>
  </si>
  <si>
    <t>5301020115</t>
  </si>
  <si>
    <t>研发支出-资本化支出-职工薪酬-企业年金</t>
  </si>
  <si>
    <t>5301020116</t>
  </si>
  <si>
    <t>研发支出-资本化支出-职工薪酬-大病医疗保险</t>
  </si>
  <si>
    <t>5301020117</t>
  </si>
  <si>
    <t>研发支出-资本化支出-职工薪酬-其他劳动保险</t>
  </si>
  <si>
    <t>5301020199</t>
  </si>
  <si>
    <t>研发支出-资本化支出-职工薪酬-其他</t>
  </si>
  <si>
    <t>53010202</t>
  </si>
  <si>
    <t>研发支出-资本化支出-外聘人员劳务费</t>
  </si>
  <si>
    <t>53010203</t>
  </si>
  <si>
    <t>研发支出-资本化支出-直接投入费用</t>
  </si>
  <si>
    <t>53010204</t>
  </si>
  <si>
    <t>研发支出-资本化支出-累计折旧</t>
  </si>
  <si>
    <t>53010205</t>
  </si>
  <si>
    <t>研发支出-资本化支出-累计摊销</t>
  </si>
  <si>
    <t>53010206</t>
  </si>
  <si>
    <t>研发支出-资本化支出-长期待摊费用</t>
  </si>
  <si>
    <t>53010207</t>
  </si>
  <si>
    <t>研发支出-资本化支出-设计费用</t>
  </si>
  <si>
    <t>53010208</t>
  </si>
  <si>
    <t>研发支出-资本化支出-调试费</t>
  </si>
  <si>
    <t>53010209</t>
  </si>
  <si>
    <t>研发支出-资本化支出-实验费</t>
  </si>
  <si>
    <t>53010210</t>
  </si>
  <si>
    <t>研发支出-资本化支出-外部研发费</t>
  </si>
  <si>
    <t>5301021001</t>
  </si>
  <si>
    <t>研发支出-资本化支出-外部研发费-境外</t>
  </si>
  <si>
    <t>5301021099</t>
  </si>
  <si>
    <t>研发支出-资本化支出-外部研发费-其他</t>
  </si>
  <si>
    <t>53010299</t>
  </si>
  <si>
    <t>研发支出-资本化支出-其他费用</t>
  </si>
  <si>
    <t>5301029901</t>
  </si>
  <si>
    <t>研发支出-资本化支出-其他费用-业务招待费</t>
  </si>
  <si>
    <t>5301029902</t>
  </si>
  <si>
    <t>研发支出-资本化支出-其他费用-高新口径</t>
  </si>
  <si>
    <t>5301029999</t>
  </si>
  <si>
    <t>研发支出-资本化支出-其他费用-其他</t>
  </si>
  <si>
    <t>研发支出辅助账编制方式，汇总、明细</t>
  </si>
  <si>
    <t>关联业务动因表</t>
  </si>
  <si>
    <t>关联分配数据</t>
  </si>
  <si>
    <t>研发费明细账</t>
  </si>
  <si>
    <t>物料领用台账1</t>
  </si>
  <si>
    <t>规则编码</t>
  </si>
  <si>
    <t>规则名称</t>
  </si>
  <si>
    <t>规则类型</t>
  </si>
  <si>
    <t>分摊动因</t>
  </si>
  <si>
    <t>动因数据源</t>
  </si>
  <si>
    <t>分摊比例公式</t>
  </si>
  <si>
    <t>标准科目范围</t>
  </si>
  <si>
    <t>分摊规则说明</t>
  </si>
  <si>
    <t>状态</t>
  </si>
  <si>
    <t>有效期起</t>
  </si>
  <si>
    <t>有效期止</t>
  </si>
  <si>
    <t>变动审批</t>
  </si>
  <si>
    <t>凭证号</t>
  </si>
  <si>
    <t>摘要</t>
  </si>
  <si>
    <t>标准科目</t>
  </si>
  <si>
    <t>金额</t>
  </si>
  <si>
    <t>项目编号</t>
  </si>
  <si>
    <t>物料名称</t>
  </si>
  <si>
    <t>出库数量</t>
  </si>
  <si>
    <t>出库金额</t>
  </si>
  <si>
    <t>归集规则</t>
  </si>
  <si>
    <t>不适用</t>
  </si>
  <si>
    <t>取自【分摊数据维护】</t>
  </si>
  <si>
    <t>记-1</t>
  </si>
  <si>
    <t>研发投入</t>
  </si>
  <si>
    <t>直接投入费用-材料费</t>
  </si>
  <si>
    <t>YF001</t>
  </si>
  <si>
    <t>A物料</t>
  </si>
  <si>
    <t>分摊</t>
  </si>
  <si>
    <t>分摊规则</t>
  </si>
  <si>
    <t>人员工时</t>
  </si>
  <si>
    <t>人员人工费-工资薪金、人员人工费-养老保险</t>
  </si>
  <si>
    <t>记-2</t>
  </si>
  <si>
    <t>直接投入费用-动力费</t>
  </si>
  <si>
    <t>YF002</t>
  </si>
  <si>
    <t>机器工时</t>
  </si>
  <si>
    <t>YF003</t>
  </si>
  <si>
    <t>燃料动力费台账</t>
  </si>
  <si>
    <t>第1步</t>
  </si>
  <si>
    <t>费用明细数据源与明细账比对</t>
  </si>
  <si>
    <t>第2步</t>
  </si>
  <si>
    <t>归集计算</t>
  </si>
  <si>
    <t>第3步</t>
  </si>
  <si>
    <t>分摊计算</t>
  </si>
  <si>
    <t>第4步</t>
  </si>
  <si>
    <t>生成辅助账明细</t>
  </si>
  <si>
    <t>1.按纳税主体设置分摊规则，可以参考复制其他纳税主体已经设置的规则。</t>
  </si>
  <si>
    <t>【分摊动因】字典</t>
  </si>
  <si>
    <t>场地面积</t>
  </si>
  <si>
    <t>【动因数据源】包括：人员工时记录表、设备运行记录表、预设分摊比例表</t>
  </si>
  <si>
    <t>营业收入</t>
  </si>
  <si>
    <t>【分摊比例公式】根据选定的关联动因数据源，编辑计算公式。</t>
  </si>
  <si>
    <t>经营收益</t>
  </si>
  <si>
    <t>协议比例</t>
  </si>
  <si>
    <t>其他</t>
  </si>
  <si>
    <t>限额规则代码</t>
  </si>
  <si>
    <t>限额场景</t>
  </si>
  <si>
    <t>限额费用取数科目</t>
  </si>
  <si>
    <t>限额比例</t>
  </si>
  <si>
    <t>限额基数取数科目</t>
  </si>
  <si>
    <t>政策依据文号</t>
  </si>
  <si>
    <t>操作</t>
  </si>
  <si>
    <t>X0001</t>
  </si>
  <si>
    <t>限额支出适用的标准科目范围</t>
  </si>
  <si>
    <t>限额计算基数取值的标准科目范围</t>
  </si>
  <si>
    <t>启用 停用</t>
  </si>
  <si>
    <t>X0002</t>
  </si>
  <si>
    <t>业务规则：</t>
  </si>
  <si>
    <t>1.限额规则是通用规则，各地区、各公司、各项目适用一套。</t>
  </si>
  <si>
    <t>2.【限额规则代码】系统自动赋值，X+4位数字</t>
  </si>
  <si>
    <t>2.【限额比例】手工录入，数值型，可保留2位小数</t>
  </si>
  <si>
    <t>项目管理列表关键字段</t>
  </si>
  <si>
    <t>新增</t>
  </si>
  <si>
    <t>修改</t>
  </si>
  <si>
    <t>删除</t>
  </si>
  <si>
    <t>资本化结转</t>
  </si>
  <si>
    <t>项目名称</t>
  </si>
  <si>
    <t>技术领域</t>
  </si>
  <si>
    <t>项目状态</t>
  </si>
  <si>
    <t>支出类型</t>
  </si>
  <si>
    <t>组织形式</t>
  </si>
  <si>
    <t>项目总预算</t>
  </si>
  <si>
    <t>项目实际支出</t>
  </si>
  <si>
    <t>项目开始日期</t>
  </si>
  <si>
    <t>项目结束日期</t>
  </si>
  <si>
    <t>完成情况</t>
  </si>
  <si>
    <t>项目来源</t>
  </si>
  <si>
    <t>辅助账状态</t>
  </si>
  <si>
    <t>1.【资本化结转】用于发起资本化项目结转无形资产。前置条件：项目状态为“已结项”，辅助账状态为“已关账”，资本化阶段为“归集核算”</t>
  </si>
  <si>
    <t>项目详情字段内容如下：</t>
  </si>
  <si>
    <t>蓝色代表关联取值字段</t>
  </si>
  <si>
    <r>
      <rPr>
        <b/>
        <sz val="12"/>
        <color rgb="FFFF0000"/>
        <rFont val="宋体"/>
        <charset val="134"/>
      </rPr>
      <t>*</t>
    </r>
    <r>
      <rPr>
        <b/>
        <sz val="12"/>
        <rFont val="宋体"/>
        <charset val="134"/>
      </rPr>
      <t>项目编号</t>
    </r>
  </si>
  <si>
    <r>
      <rPr>
        <b/>
        <sz val="12"/>
        <color rgb="FFFF0000"/>
        <rFont val="宋体"/>
        <charset val="134"/>
      </rPr>
      <t>*</t>
    </r>
    <r>
      <rPr>
        <b/>
        <sz val="12"/>
        <rFont val="宋体"/>
        <charset val="134"/>
      </rPr>
      <t>项目名称</t>
    </r>
  </si>
  <si>
    <t>项目负责人</t>
  </si>
  <si>
    <t>承担部门</t>
  </si>
  <si>
    <r>
      <rPr>
        <b/>
        <sz val="12"/>
        <color rgb="FFFF0000"/>
        <rFont val="宋体"/>
        <charset val="134"/>
      </rPr>
      <t>*</t>
    </r>
    <r>
      <rPr>
        <b/>
        <sz val="12"/>
        <rFont val="宋体"/>
        <charset val="134"/>
      </rPr>
      <t>项目状态</t>
    </r>
  </si>
  <si>
    <r>
      <rPr>
        <b/>
        <sz val="12"/>
        <color rgb="FFFF0000"/>
        <rFont val="宋体"/>
        <charset val="134"/>
      </rPr>
      <t>*</t>
    </r>
    <r>
      <rPr>
        <b/>
        <sz val="12"/>
        <rFont val="宋体"/>
        <charset val="134"/>
      </rPr>
      <t>组织形式</t>
    </r>
  </si>
  <si>
    <r>
      <rPr>
        <b/>
        <sz val="12"/>
        <color rgb="FFFF0000"/>
        <rFont val="宋体"/>
        <charset val="134"/>
      </rPr>
      <t>*</t>
    </r>
    <r>
      <rPr>
        <b/>
        <sz val="12"/>
        <rFont val="宋体"/>
        <charset val="134"/>
      </rPr>
      <t>主要研究内容</t>
    </r>
  </si>
  <si>
    <r>
      <rPr>
        <b/>
        <sz val="12"/>
        <color rgb="FFFF0000"/>
        <rFont val="宋体"/>
        <charset val="134"/>
      </rPr>
      <t>*</t>
    </r>
    <r>
      <rPr>
        <b/>
        <sz val="12"/>
        <rFont val="宋体"/>
        <charset val="134"/>
      </rPr>
      <t>创新点</t>
    </r>
  </si>
  <si>
    <r>
      <rPr>
        <b/>
        <sz val="12"/>
        <color rgb="FFFF0000"/>
        <rFont val="宋体"/>
        <charset val="134"/>
      </rPr>
      <t>*</t>
    </r>
    <r>
      <rPr>
        <b/>
        <sz val="12"/>
        <rFont val="宋体"/>
        <charset val="134"/>
      </rPr>
      <t>支出类型</t>
    </r>
  </si>
  <si>
    <r>
      <rPr>
        <b/>
        <sz val="12"/>
        <color rgb="FFFF0000"/>
        <rFont val="宋体"/>
        <charset val="134"/>
      </rPr>
      <t>*</t>
    </r>
    <r>
      <rPr>
        <b/>
        <sz val="12"/>
        <rFont val="宋体"/>
        <charset val="134"/>
      </rPr>
      <t>项目总预算（万元）</t>
    </r>
  </si>
  <si>
    <r>
      <rPr>
        <b/>
        <sz val="12"/>
        <color theme="1"/>
        <rFont val="宋体"/>
        <charset val="134"/>
      </rPr>
      <t>项目实际支出</t>
    </r>
    <r>
      <rPr>
        <b/>
        <sz val="12"/>
        <rFont val="宋体"/>
        <charset val="134"/>
      </rPr>
      <t>（万元）</t>
    </r>
  </si>
  <si>
    <t>立项日期</t>
  </si>
  <si>
    <t>资本化开始日</t>
  </si>
  <si>
    <t>资本化阶段</t>
  </si>
  <si>
    <t>委托研发的关联关系</t>
  </si>
  <si>
    <t>是否委托境外</t>
  </si>
  <si>
    <t>项目活动类型</t>
  </si>
  <si>
    <r>
      <rPr>
        <b/>
        <sz val="12"/>
        <color rgb="FFFF0000"/>
        <rFont val="宋体"/>
        <charset val="134"/>
      </rPr>
      <t>*</t>
    </r>
    <r>
      <rPr>
        <b/>
        <sz val="12"/>
        <rFont val="宋体"/>
        <charset val="134"/>
      </rPr>
      <t>项目来源</t>
    </r>
  </si>
  <si>
    <t>项目级别</t>
  </si>
  <si>
    <t>科技计划项目编号</t>
  </si>
  <si>
    <t>*管理用途</t>
  </si>
  <si>
    <t>项目参与人员</t>
  </si>
  <si>
    <t>项目使用资产</t>
  </si>
  <si>
    <t>项目参与组织</t>
  </si>
  <si>
    <t>项目备查资料</t>
  </si>
  <si>
    <t>字典</t>
  </si>
  <si>
    <t>已立项</t>
  </si>
  <si>
    <t>自主研发</t>
  </si>
  <si>
    <t>费用化</t>
  </si>
  <si>
    <t>未开始</t>
  </si>
  <si>
    <t>未完成</t>
  </si>
  <si>
    <t>不存在</t>
  </si>
  <si>
    <t>委托境内</t>
  </si>
  <si>
    <t>基础研究</t>
  </si>
  <si>
    <t>自选项目</t>
  </si>
  <si>
    <t>市级</t>
  </si>
  <si>
    <t>浮动多行或子页签</t>
  </si>
  <si>
    <t>研发中</t>
  </si>
  <si>
    <t>委托研发</t>
  </si>
  <si>
    <t>资本化</t>
  </si>
  <si>
    <t>归集核算</t>
  </si>
  <si>
    <t>已完成-研发成功</t>
  </si>
  <si>
    <t>存在</t>
  </si>
  <si>
    <t>委托境外</t>
  </si>
  <si>
    <t>应用研究</t>
  </si>
  <si>
    <t>政府科技项目</t>
  </si>
  <si>
    <t>省级</t>
  </si>
  <si>
    <t>高新认定</t>
  </si>
  <si>
    <t>已结项</t>
  </si>
  <si>
    <t>合作研发</t>
  </si>
  <si>
    <t>混合型</t>
  </si>
  <si>
    <t>完成结转</t>
  </si>
  <si>
    <t>已完成-研发失败</t>
  </si>
  <si>
    <t>试验发展</t>
  </si>
  <si>
    <t>外部委托项目</t>
  </si>
  <si>
    <t>国家级</t>
  </si>
  <si>
    <t>IPO上市</t>
  </si>
  <si>
    <t>集中研发</t>
  </si>
  <si>
    <t>成果应用</t>
  </si>
  <si>
    <t>境外项目</t>
  </si>
  <si>
    <t>其他用途</t>
  </si>
  <si>
    <t>科技服务</t>
  </si>
  <si>
    <t>其他项目</t>
  </si>
  <si>
    <t>成本科目</t>
  </si>
  <si>
    <t>【研发分工】字典</t>
  </si>
  <si>
    <t>1.本表支持接口对接、手工录入或批量导入的数据维护方式；接口对接的方式下，除外【项目编号】、【项目名称】外，其他字段可配置是否支持二次手工维护。</t>
  </si>
  <si>
    <t>研究</t>
  </si>
  <si>
    <t>2.【项目编号】必填，需包含字母；【项目开始日期】：当【项目状态】为“研发中”和“已结项”的，必填；</t>
  </si>
  <si>
    <t>损益科目</t>
  </si>
  <si>
    <t>管理费用-研发费</t>
  </si>
  <si>
    <t>技术</t>
  </si>
  <si>
    <t>3.【项目结束日期】：当【项目状态】为“已结项”的，必填；</t>
  </si>
  <si>
    <t>辅助</t>
  </si>
  <si>
    <t>4.【完成情况】：当【项目状态】为“已结项”的，必填；</t>
  </si>
  <si>
    <t>资产科目</t>
  </si>
  <si>
    <t>无形资产</t>
  </si>
  <si>
    <t>管理</t>
  </si>
  <si>
    <t>5.【委托研发的关联关系】：当【组织形式】为“委托研发”的，必填；</t>
  </si>
  <si>
    <t>服务</t>
  </si>
  <si>
    <t>6.【是否委托境外】：当【组织形式】为“委托研发”的，必填；</t>
  </si>
  <si>
    <t>7.【项目级别】：当【项目来源】为“政府科技项目”的，必填；</t>
  </si>
  <si>
    <t>8.【科技计划项目编号】：当【项目级别】为“省级”或者“国家级”的，必填；</t>
  </si>
  <si>
    <r>
      <rPr>
        <sz val="11"/>
        <color theme="1"/>
        <rFont val="宋体"/>
        <charset val="134"/>
        <scheme val="minor"/>
      </rPr>
      <t>9.【支出类型】</t>
    </r>
    <r>
      <rPr>
        <sz val="11"/>
        <color rgb="FFFF0000"/>
        <rFont val="宋体"/>
        <charset val="134"/>
        <scheme val="minor"/>
      </rPr>
      <t>单选，“混合型”项目的【资本化开始日】不能为空。</t>
    </r>
  </si>
  <si>
    <t>10.【参与研发人员】必填，浮动多行或子页签，展示的信息包括【工号、姓名、专业、职称名称、职务、用工类别、研发分工】；手工维护时从{研发人员信息}关联选择，并设置【研发分工】、【参与项目起】、【参与项目止】；工时已计入项目的人员不允许解除与项目的关联关系。</t>
  </si>
  <si>
    <t>11.【项目使用资产】必填，浮动多行或子页签，展示的信息包括【资产编号、资产名称、资产类别、用途分类】；手工维护时从{研发资产信息}关联选择，折旧、摊销费已计入项目的资产不允许解除与项目的关联关系。</t>
  </si>
  <si>
    <t>12.【研发参与组织】浮动多行或子页签，展示内容来自【组织名称、证件号码】；手工维护时从{研发组织信息}关联选择，【组织形式】为“合作研发、委托研发、集中研发”时必填，【委托研发的关联关系、是否委托境外】根据对应的组织信息自动赋值。</t>
  </si>
  <si>
    <t>12.【项目备查资料】浮动多行或子页签，展示内容来自{研发档案信息}归集的本项目档案信息，具体包括【项目阶段、源文件编号、档案名称、档案类别、档案日期、附件】。</t>
  </si>
  <si>
    <t>13.【项目实际支出（万元）】自动从研发支出辅助账取数，展示研发费用归集的总金额（费用化支出金额+资本化支出金额），增加提示说明：“项目实际支出”是项目全周期、全口径研发费用支出合计金额。</t>
  </si>
  <si>
    <t>14.项目管理列表→项目详情，管理列表中展示的字段信息包括：详情的必填字段+【立项日期、项目开始日期、项目结束日期、项目实际支出（万元）】，点击详情列，进入详情页面，完成详情信息的编辑、保存、查看。</t>
  </si>
  <si>
    <t>15.【项目名称、项目状态、支出类型、项目期间】作为默认筛选条件</t>
  </si>
  <si>
    <r>
      <rPr>
        <sz val="11"/>
        <color theme="1"/>
        <rFont val="宋体"/>
        <charset val="134"/>
        <scheme val="minor"/>
      </rPr>
      <t>16.</t>
    </r>
    <r>
      <rPr>
        <sz val="11"/>
        <color rgb="FFFF0000"/>
        <rFont val="宋体"/>
        <charset val="134"/>
        <scheme val="minor"/>
      </rPr>
      <t>【技术领域】对应《国家重点支持的高新技术领域》三级目录。</t>
    </r>
  </si>
  <si>
    <r>
      <rPr>
        <sz val="11"/>
        <color theme="1"/>
        <rFont val="宋体"/>
        <charset val="134"/>
        <scheme val="minor"/>
      </rPr>
      <t>17.</t>
    </r>
    <r>
      <rPr>
        <sz val="11"/>
        <color rgb="FFFF0000"/>
        <rFont val="宋体"/>
        <charset val="134"/>
        <scheme val="minor"/>
      </rPr>
      <t>【管理用途】必填，可以多选</t>
    </r>
  </si>
  <si>
    <t>18.【资本化状态】由系统自动赋值，当支出类型为“费用化”时，其结果值始终是“不适用”，当支出类型为“资本化”或“混合型”时，根据项目管理进度变动，【资本化开始日】前为“未开始”，【资本化开始日】至【资本化结转】操作完成前为“归集核算”，【资本化结转】操作完成后为“完成结转”</t>
  </si>
  <si>
    <t>19.【辅助账状态】同步账簿管理中的对应账簿的状态。</t>
  </si>
  <si>
    <r>
      <rPr>
        <b/>
        <sz val="12"/>
        <color rgb="FFFF0000"/>
        <rFont val="宋体"/>
        <charset val="134"/>
      </rPr>
      <t>*</t>
    </r>
    <r>
      <rPr>
        <b/>
        <sz val="12"/>
        <rFont val="宋体"/>
        <charset val="134"/>
      </rPr>
      <t>资产编号</t>
    </r>
  </si>
  <si>
    <r>
      <rPr>
        <b/>
        <sz val="12"/>
        <color rgb="FFFF0000"/>
        <rFont val="宋体"/>
        <charset val="134"/>
      </rPr>
      <t>*</t>
    </r>
    <r>
      <rPr>
        <b/>
        <sz val="12"/>
        <color theme="1"/>
        <rFont val="宋体"/>
        <charset val="134"/>
      </rPr>
      <t>资产名称</t>
    </r>
  </si>
  <si>
    <t>规格型号</t>
  </si>
  <si>
    <r>
      <rPr>
        <b/>
        <sz val="12"/>
        <color rgb="FFFF0000"/>
        <rFont val="宋体"/>
        <charset val="134"/>
      </rPr>
      <t>*</t>
    </r>
    <r>
      <rPr>
        <b/>
        <sz val="12"/>
        <rFont val="宋体"/>
        <charset val="134"/>
      </rPr>
      <t>资产类别</t>
    </r>
  </si>
  <si>
    <t>使用部门</t>
  </si>
  <si>
    <t>使用状态</t>
  </si>
  <si>
    <r>
      <rPr>
        <b/>
        <sz val="12"/>
        <color rgb="FFFF0000"/>
        <rFont val="宋体"/>
        <charset val="134"/>
      </rPr>
      <t>*</t>
    </r>
    <r>
      <rPr>
        <b/>
        <sz val="12"/>
        <color theme="1"/>
        <rFont val="宋体"/>
        <charset val="134"/>
      </rPr>
      <t>摊销期限起</t>
    </r>
  </si>
  <si>
    <r>
      <rPr>
        <b/>
        <sz val="12"/>
        <color rgb="FFFF0000"/>
        <rFont val="宋体"/>
        <charset val="134"/>
      </rPr>
      <t>*</t>
    </r>
    <r>
      <rPr>
        <b/>
        <sz val="12"/>
        <color theme="1"/>
        <rFont val="宋体"/>
        <charset val="134"/>
      </rPr>
      <t>摊销期限止</t>
    </r>
  </si>
  <si>
    <r>
      <rPr>
        <b/>
        <sz val="12"/>
        <color rgb="FFFF0000"/>
        <rFont val="宋体"/>
        <charset val="134"/>
      </rPr>
      <t>*</t>
    </r>
    <r>
      <rPr>
        <b/>
        <sz val="12"/>
        <rFont val="宋体"/>
        <charset val="134"/>
      </rPr>
      <t>会计原值</t>
    </r>
  </si>
  <si>
    <r>
      <rPr>
        <b/>
        <sz val="12"/>
        <color rgb="FFFF0000"/>
        <rFont val="宋体"/>
        <charset val="134"/>
      </rPr>
      <t>*</t>
    </r>
    <r>
      <rPr>
        <b/>
        <sz val="12"/>
        <rFont val="宋体"/>
        <charset val="134"/>
      </rPr>
      <t>加计扣除原值</t>
    </r>
  </si>
  <si>
    <r>
      <rPr>
        <b/>
        <sz val="12"/>
        <color rgb="FFFF0000"/>
        <rFont val="宋体"/>
        <charset val="134"/>
      </rPr>
      <t>*</t>
    </r>
    <r>
      <rPr>
        <b/>
        <sz val="12"/>
        <rFont val="宋体"/>
        <charset val="134"/>
      </rPr>
      <t>税务摊销方法</t>
    </r>
  </si>
  <si>
    <r>
      <rPr>
        <b/>
        <sz val="12"/>
        <color rgb="FFFF0000"/>
        <rFont val="宋体"/>
        <charset val="134"/>
      </rPr>
      <t>*</t>
    </r>
    <r>
      <rPr>
        <b/>
        <sz val="12"/>
        <rFont val="宋体"/>
        <charset val="134"/>
      </rPr>
      <t>税务摊销期限</t>
    </r>
  </si>
  <si>
    <t>税务月度摊销金额</t>
  </si>
  <si>
    <t>加计扣除比例</t>
  </si>
  <si>
    <t>累计加计扣除金额</t>
  </si>
  <si>
    <t>年限平均法</t>
  </si>
  <si>
    <t>工作量法</t>
  </si>
  <si>
    <t>双倍余额递减法</t>
  </si>
  <si>
    <t>年数总和法</t>
  </si>
  <si>
    <t>1.符合研发费用加计扣除政策规定的资本化项目，完成研发结转资产后，通过本菜单记录和管理后续摊销信息；</t>
  </si>
  <si>
    <r>
      <rPr>
        <b/>
        <sz val="12"/>
        <color rgb="FFFF0000"/>
        <rFont val="宋体"/>
        <charset val="134"/>
      </rPr>
      <t>*</t>
    </r>
    <r>
      <rPr>
        <b/>
        <sz val="12"/>
        <rFont val="宋体"/>
        <charset val="134"/>
      </rPr>
      <t>工号</t>
    </r>
  </si>
  <si>
    <r>
      <rPr>
        <b/>
        <sz val="12"/>
        <color rgb="FFFF0000"/>
        <rFont val="宋体"/>
        <charset val="134"/>
      </rPr>
      <t>*</t>
    </r>
    <r>
      <rPr>
        <b/>
        <sz val="12"/>
        <rFont val="宋体"/>
        <charset val="134"/>
      </rPr>
      <t>姓名</t>
    </r>
  </si>
  <si>
    <r>
      <rPr>
        <b/>
        <sz val="12"/>
        <color rgb="FFFF0000"/>
        <rFont val="宋体"/>
        <charset val="134"/>
      </rPr>
      <t>*</t>
    </r>
    <r>
      <rPr>
        <b/>
        <sz val="12"/>
        <color theme="1"/>
        <rFont val="宋体"/>
        <charset val="134"/>
      </rPr>
      <t>性别</t>
    </r>
  </si>
  <si>
    <r>
      <rPr>
        <b/>
        <sz val="12"/>
        <color rgb="FFFF0000"/>
        <rFont val="宋体"/>
        <charset val="134"/>
      </rPr>
      <t>*</t>
    </r>
    <r>
      <rPr>
        <b/>
        <sz val="12"/>
        <rFont val="宋体"/>
        <charset val="134"/>
      </rPr>
      <t>身份证号</t>
    </r>
  </si>
  <si>
    <r>
      <rPr>
        <b/>
        <sz val="12"/>
        <color rgb="FFFF0000"/>
        <rFont val="宋体"/>
        <charset val="134"/>
      </rPr>
      <t>*</t>
    </r>
    <r>
      <rPr>
        <b/>
        <sz val="12"/>
        <color theme="1"/>
        <rFont val="宋体"/>
        <charset val="134"/>
      </rPr>
      <t>学历</t>
    </r>
  </si>
  <si>
    <r>
      <rPr>
        <b/>
        <sz val="12"/>
        <color rgb="FFFF0000"/>
        <rFont val="宋体"/>
        <charset val="134"/>
      </rPr>
      <t>*</t>
    </r>
    <r>
      <rPr>
        <b/>
        <sz val="12"/>
        <rFont val="宋体"/>
        <charset val="134"/>
      </rPr>
      <t>专业</t>
    </r>
  </si>
  <si>
    <r>
      <rPr>
        <b/>
        <sz val="12"/>
        <color rgb="FFFF0000"/>
        <rFont val="宋体"/>
        <charset val="134"/>
      </rPr>
      <t>*</t>
    </r>
    <r>
      <rPr>
        <b/>
        <sz val="12"/>
        <rFont val="宋体"/>
        <charset val="134"/>
      </rPr>
      <t>职称名称</t>
    </r>
  </si>
  <si>
    <r>
      <rPr>
        <b/>
        <sz val="12"/>
        <color rgb="FFFF0000"/>
        <rFont val="宋体"/>
        <charset val="134"/>
      </rPr>
      <t>*</t>
    </r>
    <r>
      <rPr>
        <b/>
        <sz val="12"/>
        <rFont val="宋体"/>
        <charset val="134"/>
      </rPr>
      <t>职称类别</t>
    </r>
  </si>
  <si>
    <r>
      <rPr>
        <b/>
        <sz val="12"/>
        <color rgb="FFFF0000"/>
        <rFont val="宋体"/>
        <charset val="134"/>
      </rPr>
      <t>*</t>
    </r>
    <r>
      <rPr>
        <b/>
        <sz val="12"/>
        <rFont val="宋体"/>
        <charset val="134"/>
      </rPr>
      <t>职务</t>
    </r>
  </si>
  <si>
    <r>
      <rPr>
        <b/>
        <sz val="12"/>
        <color rgb="FFFF0000"/>
        <rFont val="宋体"/>
        <charset val="134"/>
      </rPr>
      <t>*</t>
    </r>
    <r>
      <rPr>
        <b/>
        <sz val="12"/>
        <rFont val="宋体"/>
        <charset val="134"/>
      </rPr>
      <t>用工类别</t>
    </r>
  </si>
  <si>
    <t>公司名称</t>
  </si>
  <si>
    <t>任职期起</t>
  </si>
  <si>
    <t>任职期止</t>
  </si>
  <si>
    <r>
      <rPr>
        <b/>
        <sz val="12"/>
        <rFont val="宋体"/>
        <charset val="134"/>
      </rPr>
      <t>研发投入工时</t>
    </r>
    <r>
      <rPr>
        <b/>
        <i/>
        <sz val="12"/>
        <rFont val="宋体"/>
        <charset val="134"/>
      </rPr>
      <t>（二期）</t>
    </r>
  </si>
  <si>
    <t>20个</t>
  </si>
  <si>
    <t>1.本表支持接口对接、手工录入或批量导入的数据维护方式：接口对接的方式下，【职称名称】、【用工类别】字段可配置是否支持二次手工维护。</t>
  </si>
  <si>
    <t>2.【研发投入工时】显示最近3年研发投入工时数，点击后显示本人员最近三个年度每年工时投入信息和相关项目基本信息。</t>
  </si>
  <si>
    <t>3.【任职期起】和【任职期止】默认显示最近一段期间的起止日期，同一个人员可以记录多段任期期间：</t>
  </si>
  <si>
    <t>4.【职称名称】与【职称类别】关联，【职称类别】根据【职称名称】自动匹配：</t>
  </si>
  <si>
    <t>【职称名称】字典</t>
  </si>
  <si>
    <t>【职称类别】</t>
  </si>
  <si>
    <t>5.【工号、姓名、用工类别、任职期间】默认筛选条件：</t>
  </si>
  <si>
    <t>教授</t>
  </si>
  <si>
    <t>高级职称（正高）</t>
  </si>
  <si>
    <t>副教授</t>
  </si>
  <si>
    <t>高级职称（副高）</t>
  </si>
  <si>
    <t>讲师</t>
  </si>
  <si>
    <t>中级职称</t>
  </si>
  <si>
    <t>助教</t>
  </si>
  <si>
    <t>初级职称（助理级）</t>
  </si>
  <si>
    <t>研究员(Z)</t>
  </si>
  <si>
    <t>副研究员(Z)</t>
  </si>
  <si>
    <t>助理研究员(Z)</t>
  </si>
  <si>
    <t>研究实习员(Z)</t>
  </si>
  <si>
    <t>正高级工程师</t>
  </si>
  <si>
    <t>高级工程师</t>
  </si>
  <si>
    <t>工程师</t>
  </si>
  <si>
    <t>助理工程师</t>
  </si>
  <si>
    <t>技术员</t>
  </si>
  <si>
    <t>初级职称（员级）</t>
  </si>
  <si>
    <t>正高级农艺师</t>
  </si>
  <si>
    <t>高级农艺师</t>
  </si>
  <si>
    <t>农艺师</t>
  </si>
  <si>
    <t>助理农艺师</t>
  </si>
  <si>
    <t>农业技术员</t>
  </si>
  <si>
    <t>正高级兽医师</t>
  </si>
  <si>
    <t>高级兽医师</t>
  </si>
  <si>
    <t>兽医师</t>
  </si>
  <si>
    <t>助理兽医师</t>
  </si>
  <si>
    <t>兽医技术员</t>
  </si>
  <si>
    <t>正高级畜牧师</t>
  </si>
  <si>
    <t>高级畜牧师</t>
  </si>
  <si>
    <t>畜牧师</t>
  </si>
  <si>
    <t>助理畜牧师</t>
  </si>
  <si>
    <t>畜牧技术员</t>
  </si>
  <si>
    <t>正高级实验师</t>
  </si>
  <si>
    <t>高级实验师</t>
  </si>
  <si>
    <t>实验师</t>
  </si>
  <si>
    <t>助理实验师</t>
  </si>
  <si>
    <t>实验员</t>
  </si>
  <si>
    <t>高级技师</t>
  </si>
  <si>
    <t>高级技工</t>
  </si>
  <si>
    <t>技师</t>
  </si>
  <si>
    <t>高级工</t>
  </si>
  <si>
    <t>中级工</t>
  </si>
  <si>
    <t>中级技工</t>
  </si>
  <si>
    <t>初级工</t>
  </si>
  <si>
    <t>初级技工</t>
  </si>
  <si>
    <t>其他职称</t>
  </si>
  <si>
    <t>资产类别一级</t>
  </si>
  <si>
    <t>资产类别二级</t>
  </si>
  <si>
    <t>取得方式</t>
  </si>
  <si>
    <t>研发项目编码</t>
  </si>
  <si>
    <t>会计原值</t>
  </si>
  <si>
    <t>会计残值率</t>
  </si>
  <si>
    <t>会计折旧年限</t>
  </si>
  <si>
    <t>会计折旧方法</t>
  </si>
  <si>
    <t>开始使用日期</t>
  </si>
  <si>
    <r>
      <rPr>
        <b/>
        <sz val="12"/>
        <color rgb="FFFF0000"/>
        <rFont val="宋体"/>
        <charset val="134"/>
      </rPr>
      <t>*</t>
    </r>
    <r>
      <rPr>
        <b/>
        <sz val="12"/>
        <rFont val="宋体"/>
        <charset val="134"/>
      </rPr>
      <t>税会折旧摊销差异</t>
    </r>
  </si>
  <si>
    <r>
      <rPr>
        <b/>
        <sz val="12"/>
        <color rgb="FFFF0000"/>
        <rFont val="宋体"/>
        <charset val="134"/>
      </rPr>
      <t>*</t>
    </r>
    <r>
      <rPr>
        <b/>
        <sz val="12"/>
        <rFont val="宋体"/>
        <charset val="134"/>
      </rPr>
      <t>用途分类</t>
    </r>
  </si>
  <si>
    <r>
      <rPr>
        <b/>
        <sz val="12"/>
        <rFont val="宋体"/>
        <charset val="134"/>
      </rPr>
      <t>所涉研发项目</t>
    </r>
    <r>
      <rPr>
        <b/>
        <i/>
        <sz val="12"/>
        <rFont val="宋体"/>
        <charset val="134"/>
      </rPr>
      <t>（二期）</t>
    </r>
  </si>
  <si>
    <t>固定资产</t>
  </si>
  <si>
    <t>设备</t>
  </si>
  <si>
    <t>仪器</t>
  </si>
  <si>
    <t>软件著作权</t>
  </si>
  <si>
    <t>专利</t>
  </si>
  <si>
    <t>B2025666451</t>
  </si>
  <si>
    <t>1.本表数据通过接口对接、手工录入、批量导入方式维护。</t>
  </si>
  <si>
    <t>2.接口对接采集的数据，【税会折旧摊销差异】、【用途分类】允许手工维护修改。</t>
  </si>
  <si>
    <t>3.【所涉研发项目】显示项目数量，点击后展示与本资产关联过的项目基本信息和分摊费用金额信息。</t>
  </si>
  <si>
    <r>
      <rPr>
        <b/>
        <sz val="12"/>
        <color rgb="FFFF0000"/>
        <rFont val="宋体"/>
        <charset val="134"/>
      </rPr>
      <t>*</t>
    </r>
    <r>
      <rPr>
        <b/>
        <sz val="12"/>
        <rFont val="宋体"/>
        <charset val="134"/>
      </rPr>
      <t>组织编号</t>
    </r>
  </si>
  <si>
    <r>
      <rPr>
        <b/>
        <sz val="12"/>
        <color rgb="FFFF0000"/>
        <rFont val="宋体"/>
        <charset val="134"/>
      </rPr>
      <t>*</t>
    </r>
    <r>
      <rPr>
        <b/>
        <sz val="12"/>
        <rFont val="宋体"/>
        <charset val="134"/>
      </rPr>
      <t>组织名称</t>
    </r>
  </si>
  <si>
    <r>
      <rPr>
        <b/>
        <sz val="12"/>
        <color rgb="FFFF0000"/>
        <rFont val="宋体"/>
        <charset val="134"/>
      </rPr>
      <t>*</t>
    </r>
    <r>
      <rPr>
        <b/>
        <sz val="12"/>
        <rFont val="宋体"/>
        <charset val="134"/>
      </rPr>
      <t>证件号码</t>
    </r>
  </si>
  <si>
    <r>
      <rPr>
        <b/>
        <sz val="12"/>
        <color rgb="FFFF0000"/>
        <rFont val="宋体"/>
        <charset val="134"/>
      </rPr>
      <t>*</t>
    </r>
    <r>
      <rPr>
        <b/>
        <sz val="12"/>
        <color theme="1"/>
        <rFont val="宋体"/>
        <charset val="134"/>
      </rPr>
      <t>组织类型</t>
    </r>
  </si>
  <si>
    <r>
      <rPr>
        <b/>
        <sz val="12"/>
        <color rgb="FFFF0000"/>
        <rFont val="宋体"/>
        <charset val="134"/>
      </rPr>
      <t>*</t>
    </r>
    <r>
      <rPr>
        <b/>
        <sz val="12"/>
        <rFont val="宋体"/>
        <charset val="134"/>
      </rPr>
      <t>国别类型</t>
    </r>
  </si>
  <si>
    <r>
      <rPr>
        <b/>
        <sz val="12"/>
        <color rgb="FFFF0000"/>
        <rFont val="宋体"/>
        <charset val="134"/>
      </rPr>
      <t>*</t>
    </r>
    <r>
      <rPr>
        <b/>
        <sz val="12"/>
        <rFont val="宋体"/>
        <charset val="134"/>
      </rPr>
      <t>关联关系</t>
    </r>
  </si>
  <si>
    <t>研发参与项目（二期）</t>
  </si>
  <si>
    <t>1.本表记录与研发活动相关的合作方、受托方、或集团成员单位的组织信息，手工录入或批量导入的方式数据维护。</t>
  </si>
  <si>
    <t>【组织类型】字典</t>
  </si>
  <si>
    <t>【国别类型】字典</t>
  </si>
  <si>
    <t>【关联关系】字典</t>
  </si>
  <si>
    <t>研究机构</t>
  </si>
  <si>
    <t>境内</t>
  </si>
  <si>
    <t>关联方</t>
  </si>
  <si>
    <t>高等学校</t>
  </si>
  <si>
    <t>境外</t>
  </si>
  <si>
    <t>非关联方</t>
  </si>
  <si>
    <t>企业单位</t>
  </si>
  <si>
    <t>个人</t>
  </si>
  <si>
    <r>
      <rPr>
        <b/>
        <sz val="12"/>
        <color rgb="FFFF0000"/>
        <rFont val="宋体"/>
        <charset val="134"/>
      </rPr>
      <t>*</t>
    </r>
    <r>
      <rPr>
        <b/>
        <sz val="12"/>
        <rFont val="宋体"/>
        <charset val="134"/>
      </rPr>
      <t>档案编号</t>
    </r>
  </si>
  <si>
    <r>
      <rPr>
        <b/>
        <sz val="12"/>
        <color rgb="FFFF0000"/>
        <rFont val="宋体"/>
        <charset val="134"/>
      </rPr>
      <t>*</t>
    </r>
    <r>
      <rPr>
        <b/>
        <sz val="12"/>
        <color theme="1"/>
        <rFont val="宋体"/>
        <charset val="134"/>
      </rPr>
      <t>档案类别大类</t>
    </r>
  </si>
  <si>
    <r>
      <rPr>
        <b/>
        <sz val="12"/>
        <color rgb="FFFF0000"/>
        <rFont val="宋体"/>
        <charset val="134"/>
      </rPr>
      <t>*</t>
    </r>
    <r>
      <rPr>
        <b/>
        <sz val="12"/>
        <color theme="1"/>
        <rFont val="宋体"/>
        <charset val="134"/>
      </rPr>
      <t>档案类别小类</t>
    </r>
  </si>
  <si>
    <r>
      <rPr>
        <b/>
        <sz val="12"/>
        <color rgb="FFFF0000"/>
        <rFont val="宋体"/>
        <charset val="134"/>
      </rPr>
      <t>*</t>
    </r>
    <r>
      <rPr>
        <b/>
        <sz val="12"/>
        <color theme="1"/>
        <rFont val="宋体"/>
        <charset val="134"/>
      </rPr>
      <t>档案名称</t>
    </r>
  </si>
  <si>
    <t>源文件编号</t>
  </si>
  <si>
    <r>
      <rPr>
        <b/>
        <sz val="12"/>
        <color rgb="FFFF0000"/>
        <rFont val="宋体"/>
        <charset val="134"/>
      </rPr>
      <t>*</t>
    </r>
    <r>
      <rPr>
        <b/>
        <sz val="12"/>
        <rFont val="宋体"/>
        <charset val="134"/>
      </rPr>
      <t>档案日期</t>
    </r>
  </si>
  <si>
    <r>
      <rPr>
        <b/>
        <sz val="12"/>
        <color rgb="FFFF0000"/>
        <rFont val="宋体"/>
        <charset val="134"/>
      </rPr>
      <t>*</t>
    </r>
    <r>
      <rPr>
        <b/>
        <sz val="12"/>
        <color theme="1"/>
        <rFont val="宋体"/>
        <charset val="134"/>
      </rPr>
      <t>来源部门</t>
    </r>
  </si>
  <si>
    <t>附件</t>
  </si>
  <si>
    <r>
      <rPr>
        <b/>
        <sz val="12"/>
        <color rgb="FFFF0000"/>
        <rFont val="宋体"/>
        <charset val="134"/>
      </rPr>
      <t>*</t>
    </r>
    <r>
      <rPr>
        <b/>
        <sz val="12"/>
        <rFont val="宋体"/>
        <charset val="134"/>
      </rPr>
      <t>档案用途</t>
    </r>
  </si>
  <si>
    <t>档案介质</t>
  </si>
  <si>
    <t>存放地点</t>
  </si>
  <si>
    <t>保密等级</t>
  </si>
  <si>
    <t>归档人</t>
  </si>
  <si>
    <t>归档日期</t>
  </si>
  <si>
    <t>修改人</t>
  </si>
  <si>
    <t>修改日期</t>
  </si>
  <si>
    <t>修改原因</t>
  </si>
  <si>
    <t>【档案类别大类】字典</t>
  </si>
  <si>
    <t>【档案类别小类】字典</t>
  </si>
  <si>
    <t>【档案用途】字典</t>
  </si>
  <si>
    <t>【保密等级】字典</t>
  </si>
  <si>
    <t>【档案介质】字典</t>
  </si>
  <si>
    <t>1.系统外部产生的各类研发相关的备查资料档案，通过此处进行记录、修改、删除、查询、批量导出等操作</t>
  </si>
  <si>
    <t>项目立项</t>
  </si>
  <si>
    <t>立项决议</t>
  </si>
  <si>
    <t>普通</t>
  </si>
  <si>
    <t>纸质</t>
  </si>
  <si>
    <t>2.【档案编号】：档案编号命名规则可配置分段、位数、字符类型等，自选授权范围。</t>
  </si>
  <si>
    <t>项目计划书</t>
  </si>
  <si>
    <t>高企认定</t>
  </si>
  <si>
    <t>内部</t>
  </si>
  <si>
    <t>电子</t>
  </si>
  <si>
    <t>3.【项目编号】：关联相关的项目，允许多选，前端展示“项目编号+项目名称”，分号分割。</t>
  </si>
  <si>
    <t>可行性研究报告</t>
  </si>
  <si>
    <t>IPO</t>
  </si>
  <si>
    <t>机密</t>
  </si>
  <si>
    <t>混合</t>
  </si>
  <si>
    <t>4.【档案用途】必填，除了默认用途，可手工多选；</t>
  </si>
  <si>
    <t>项目组编制及人员名单</t>
  </si>
  <si>
    <t>5.【档案类别小类、项目编号、档案日期、档案用途】为查询基本筛选条件</t>
  </si>
  <si>
    <t>项目过程</t>
  </si>
  <si>
    <t>委托研发合同</t>
  </si>
  <si>
    <t>6.【档案类别小类】与【档案用途】建立关联关系，为每个档案类别小类设置默认用途。</t>
  </si>
  <si>
    <t>合作研发合同</t>
  </si>
  <si>
    <t>费用分摊协议</t>
  </si>
  <si>
    <t>工时记录台账</t>
  </si>
  <si>
    <t>设备使用记录</t>
  </si>
  <si>
    <t>研发领料单</t>
  </si>
  <si>
    <t>项目核算</t>
  </si>
  <si>
    <t>资本化批准文件</t>
  </si>
  <si>
    <t>费用分摊明细表</t>
  </si>
  <si>
    <t>辅助账调整说明</t>
  </si>
  <si>
    <t>研发支出辅助账</t>
  </si>
  <si>
    <t>辅助账汇总表</t>
  </si>
  <si>
    <t>研发费用明细申报表</t>
  </si>
  <si>
    <t>项目进展情况报告</t>
  </si>
  <si>
    <t>委托研发付款凭证</t>
  </si>
  <si>
    <t>研发支出明细情况说明</t>
  </si>
  <si>
    <t>项目结题</t>
  </si>
  <si>
    <t>结题报告</t>
  </si>
  <si>
    <t>项目经费决算报告</t>
  </si>
  <si>
    <t>成果证明</t>
  </si>
  <si>
    <t>政府监管</t>
  </si>
  <si>
    <t>鉴定证明</t>
  </si>
  <si>
    <t>资质证明</t>
  </si>
  <si>
    <t>税务事项通知书</t>
  </si>
  <si>
    <t>公司编码</t>
  </si>
  <si>
    <t>研发项目名称</t>
  </si>
  <si>
    <t>研发项目状态</t>
  </si>
  <si>
    <t>启用月份</t>
  </si>
  <si>
    <t>记账方式</t>
  </si>
  <si>
    <t>结账周期</t>
  </si>
  <si>
    <t>创建人</t>
  </si>
  <si>
    <t>创建日期</t>
  </si>
  <si>
    <t>关账日期</t>
  </si>
  <si>
    <t>待建账</t>
  </si>
  <si>
    <t>汇总</t>
  </si>
  <si>
    <t>月度</t>
  </si>
  <si>
    <t>已启用</t>
  </si>
  <si>
    <t>明细</t>
  </si>
  <si>
    <t>季度</t>
  </si>
  <si>
    <t>已关账</t>
  </si>
  <si>
    <t>年度</t>
  </si>
  <si>
    <t>1.账簿管理用于启用、管理各个研发项目的研发支出辅助账。</t>
  </si>
  <si>
    <t>2.系统按日比对研发项目信息中每个项目是否都已在账簿管理中创建了账簿，有项目信息而无辅助账信息的，自动在账簿管理中生成“待建账”记录；项目信息中【支出类型】为“混合型”的项目，生成二条待建账记录，其他生成一条记录。</t>
  </si>
  <si>
    <t>3.【辅助账状态】中的“待建账”使用醒目颜色，点击后开启建账配置窗口，手动配置【启用月份、结账周期、记账方式】后完成创建辅助账。</t>
  </si>
  <si>
    <t>会计期间：</t>
  </si>
  <si>
    <t>年月至年月</t>
  </si>
  <si>
    <t>对账状态：</t>
  </si>
  <si>
    <t>公司名称：</t>
  </si>
  <si>
    <t>对账规则设置</t>
  </si>
  <si>
    <t>执行对账</t>
  </si>
  <si>
    <t>生成报告</t>
  </si>
  <si>
    <t>导出报告</t>
  </si>
  <si>
    <t>公司编号</t>
  </si>
  <si>
    <t>会计期间</t>
  </si>
  <si>
    <t>对账状态</t>
  </si>
  <si>
    <t>差异金额</t>
  </si>
  <si>
    <t>差异率</t>
  </si>
  <si>
    <t>对账日期</t>
  </si>
  <si>
    <t>对账人</t>
  </si>
  <si>
    <t>对账报告</t>
  </si>
  <si>
    <t>报告日期</t>
  </si>
  <si>
    <t>报告人</t>
  </si>
  <si>
    <t>总账科目放生额</t>
  </si>
  <si>
    <t>辅助账科目发生额</t>
  </si>
  <si>
    <t>未对账</t>
  </si>
  <si>
    <t>有差异可忽略</t>
  </si>
  <si>
    <t>有差异待确认</t>
  </si>
  <si>
    <t>有差异已确认</t>
  </si>
  <si>
    <t>对账无差异</t>
  </si>
  <si>
    <t>1.对账功能以公司为维度，以月度为周期校验全部项目辅助账数据是否与总账一致，差异部分逐项列明差异原因。</t>
  </si>
  <si>
    <t>总账</t>
  </si>
  <si>
    <t>辅助账</t>
  </si>
  <si>
    <t>2.【会计期间】按月设定，最早月份为账簿管理中所有项目辅助账的最早月份，当前月份对账完成后自动开启下个对账月。</t>
  </si>
  <si>
    <t>年月</t>
  </si>
  <si>
    <t>辅助账项目编号</t>
  </si>
  <si>
    <t>辅助账项目名称</t>
  </si>
  <si>
    <t xml:space="preserve"> 结账状态</t>
  </si>
  <si>
    <t>操作人</t>
  </si>
  <si>
    <t>操作日期</t>
  </si>
  <si>
    <t>未结账</t>
  </si>
  <si>
    <t>按期结账 结项关账 反结账</t>
  </si>
  <si>
    <t>已结账</t>
  </si>
  <si>
    <t>1.项目结账功能是控制项目辅助账是否还可以进行编制和修改。结账后当期及之前期间的分摊计算、辅助账明细不可再操作和修改，关账后全期间的项目辅助账数据不可再修改。</t>
  </si>
  <si>
    <t>2.【会计期间】按辅助账账簿设定的结账周期展示，202601,2026Q1,2026；操作按期结账后自动开启下一个会计期间，操作结项关账后不开启新期间。</t>
  </si>
  <si>
    <t>3.按期结账前置条件是项目所属公司已完成会计期间全部月份的对账工作；</t>
  </si>
  <si>
    <t>4.结项关账前置条件是项目状态属于“已结项”；</t>
  </si>
  <si>
    <t>5.反结账需要按会计期间有后向前逐期反结。</t>
  </si>
  <si>
    <t>数据初始化</t>
  </si>
  <si>
    <t>数据校验</t>
  </si>
  <si>
    <t>自动分摊</t>
  </si>
  <si>
    <t>手工分摊</t>
  </si>
  <si>
    <t>取消分摊</t>
  </si>
  <si>
    <t>审核</t>
  </si>
  <si>
    <t>作废</t>
  </si>
  <si>
    <t>会计凭证日期</t>
  </si>
  <si>
    <t>凭证种类</t>
  </si>
  <si>
    <t>凭证编号</t>
  </si>
  <si>
    <t>企业会计科目编码</t>
  </si>
  <si>
    <t>企业会计科目名称</t>
  </si>
  <si>
    <t>会计凭证借方金额</t>
  </si>
  <si>
    <t>会计凭证贷方金额</t>
  </si>
  <si>
    <t>辅助核算项目编码</t>
  </si>
  <si>
    <t>辅助核算项目名称</t>
  </si>
  <si>
    <t>辅助账明细编号</t>
  </si>
  <si>
    <t>辅助账核算金额</t>
  </si>
  <si>
    <t>编制人</t>
  </si>
  <si>
    <t>审核人</t>
  </si>
  <si>
    <t>待分摊</t>
  </si>
  <si>
    <t>待审核</t>
  </si>
  <si>
    <t>已审核</t>
  </si>
  <si>
    <t>已作废</t>
  </si>
  <si>
    <t>1.编制研发支出辅助账之前，需要先完成科目明细账与费用台账比较检验、分摊比例表计算，检验和计算规则取自《研发费用分摊规则》；</t>
  </si>
  <si>
    <t>2.基于《企业研发费用明细账表ODS》数据源，【会计凭证借方金额】、【会计凭证贷方金额】按“企业会计科目+辅助核算项目”汇总；</t>
  </si>
  <si>
    <t>3.【会计期间】、【会计凭证日期】、【凭证种类】、【摘要】显示第一笔凭证的相关信息；【凭证编号】记录全部被汇总明细账的凭证编号，用逗号分隔。</t>
  </si>
  <si>
    <t>4.辅助账明细行【分摊比例表】为空的，可以被选中发起【自动分摊】；</t>
  </si>
  <si>
    <t>5.辅助账明细行【分摊比例表】为空的，可以被选中发起【手工分摊】，手工分摊需手工选择分摊比例表；</t>
  </si>
  <si>
    <t>6.【组织编号】、【会计期间】、【企业会计科目编码】、【辅助核算项目编码】和【关联分摊比例表】都相同的辅助账明细可以操作【取消分摊】</t>
  </si>
  <si>
    <t>7.根据会计核算制度之外的其他规定，需要调整研发支出项目辅助账的，通过【调整辅助账】新增调整分录，记账内容只需填写【会计期间、凭证种类、摘要、辅助项目编码、辅助项目名称、辅助账明细编号、标准科目编码、标准科目名称、辅助账核算金额】字段，【凭证种类】记录为“辅助专用”，不可手工修改。并上传附件；业务场景包括：研发人员股权激励支出直接填入“其中：其他事项”，销售研发活动直接形成产品（包括组成部分）对应的材料部分调整可加计的研发费用，中间产品销售收入调整可加计扣除的研发费用等。</t>
  </si>
  <si>
    <t>8.手工上传附件时需要按档案类别分类上传。</t>
  </si>
  <si>
    <t>新建</t>
  </si>
  <si>
    <t>刷新</t>
  </si>
  <si>
    <t>确认</t>
  </si>
  <si>
    <t>撤销确认</t>
  </si>
  <si>
    <t>所属期间</t>
  </si>
  <si>
    <t>限额基数金额</t>
  </si>
  <si>
    <t>限额金额</t>
  </si>
  <si>
    <t>其他相关费用
账载金额</t>
  </si>
  <si>
    <t>调整后其他相关费用</t>
  </si>
  <si>
    <t>刷新时间</t>
  </si>
  <si>
    <t>确认时间</t>
  </si>
  <si>
    <t>确认人员</t>
  </si>
  <si>
    <t>A公司</t>
  </si>
  <si>
    <t>——</t>
  </si>
  <si>
    <t>已确认</t>
  </si>
  <si>
    <t>张三</t>
  </si>
  <si>
    <t>B项目</t>
  </si>
  <si>
    <t>可刷新</t>
  </si>
  <si>
    <t>1.【新建】时需选择【公司名称、所属期间、限额场景】，所属期间单选，其他可多选；【公司名称】可选的公司范围是在【账簿管理】中已启用过辅助账的公司；【所属期间】可以按年、Q2、Q3</t>
  </si>
  <si>
    <t>2.新建计算记录时，创建公司口径的明细记录；【限额场景】为“加计扣除”时，创建公司口径的计算记录后，还需过滤该公司的项目信息，查询【项目结束日期】处于【所属期间】内、【支出类型】为“资本化”、“混合型”的项目，计算资本化项目的【其他相关费用账载金额】，资本化项目【调整后其他相关费用】=公司【调整后其他相关费用】/公司【其他相关费用账载金额】*资本化项目【其他相关费用账载金额】。</t>
  </si>
  <si>
    <t>3.【限额基数金额】计算规则，根据限额场景取【限额计算规则】中【限额基数取数科目】的计算规则，【其他相关费用账载金额】计算规则取【限额计算规则】中【限额费用取数科目】的计算规则。</t>
  </si>
  <si>
    <t>4.页面所有明细数据排序规则根据【公司名称、所属期间、限额场景】组合字段排序，公司口径记录数据在前，项目口径记录数据在后。</t>
  </si>
  <si>
    <t>5.【刷新】时需要选择【公司名称、所属期间、限额场景】，根据系统最新数据计算各条限额记录数据；已确认的明细数据不允许刷新；</t>
  </si>
  <si>
    <t>6.【公司名称、所属期间、限额场景】为列表查询条件。</t>
  </si>
  <si>
    <t>2021版研发支出辅助账（样式）</t>
  </si>
  <si>
    <t>项目编号：</t>
  </si>
  <si>
    <t>项目名称：</t>
  </si>
  <si>
    <t>A项目</t>
  </si>
  <si>
    <t>完成情况：</t>
  </si>
  <si>
    <t>支出类型：</t>
  </si>
  <si>
    <t>金额单位：元</t>
  </si>
  <si>
    <t>凭证信息</t>
  </si>
  <si>
    <t>会计凭证记载金额</t>
  </si>
  <si>
    <t>税法规定的归集金额</t>
  </si>
  <si>
    <t>费用明细（税法规定）</t>
  </si>
  <si>
    <t>人员人工费用</t>
  </si>
  <si>
    <t>直接投入费用</t>
  </si>
  <si>
    <t>折旧费用</t>
  </si>
  <si>
    <t>无形资产摊销</t>
  </si>
  <si>
    <t>新产品设计费等</t>
  </si>
  <si>
    <t>其他相关费用</t>
  </si>
  <si>
    <t>委托研发费用</t>
  </si>
  <si>
    <t>日期</t>
  </si>
  <si>
    <t>种类</t>
  </si>
  <si>
    <t>号数</t>
  </si>
  <si>
    <t>委托境内机构或个人进行研发活动所发生的费用</t>
  </si>
  <si>
    <t>委托境外机构进行研发活动所发生的费用</t>
  </si>
  <si>
    <t>合计金额</t>
  </si>
  <si>
    <t>会计主管：</t>
  </si>
  <si>
    <t>录入人：</t>
  </si>
  <si>
    <t>填写说明：</t>
  </si>
  <si>
    <t xml:space="preserve">    一、有关项目填写说明 </t>
  </si>
  <si>
    <t xml:space="preserve">    （一）对享受加计扣除的研发费用按项目设置研发支出辅助账，用于归集已按照国家财务会计制度进行会计处理，且属于税前加计扣除归集范围的研发费用。
    对于单个研发项目涉及多种研发形式的，该研发项目只需建立一套辅助账，无需再按不同研发形式分别设置辅助账。如：某一研发项目，其一部分采取自主研发形式，另一部分采取委托研发形式，企业不必分别设置自主研发和委托研发两套辅助账，对同时包括两种及两种以上研发形式的支出，统一在一套辅助账中归集。</t>
  </si>
  <si>
    <t xml:space="preserve">    （二）项目编号：企业可自行对本企业的研发项目进行编号，并据此填写本栏次。 </t>
  </si>
  <si>
    <t xml:space="preserve">    （三）项目名称：根据企业研发项目计划书或立项决议文件等据实填写。</t>
  </si>
  <si>
    <t xml:space="preserve">    （四）完成情况：根据项目完成进度，选填“未结束”或“已结束”。其中：对于跨年度的研发项目，截至所属期末尚未完成的项目，填写“未结束”；对于企业确认研发失败的项目，填写“已结束”。</t>
  </si>
  <si>
    <t xml:space="preserve">    （五）支出类型：根据会计处理情况，选填“费用化”或“资本化”。其中：“费用化”是研发支出直接计入当期损益，在发生年度一次性扣除；“资本化”是指相关研发支出计入无形资产的成本，待其研发成功后，从无形资产可供使用时起，通过分期摊销的方式跨年度扣除。
    需要说明：一是对于单个研发项目涉及费用化支出和资本化支出两个阶段的，应当按照费用化支出和资本化支出分别设置辅助账。具体操作方法：当研发项目在研发初期采取费用化方式时，支出类型填写“费用化”，按规定设置辅助账。当该项目进入资本化阶段后，费用化辅助账完成情况选择“已结束”；同时对该项目新设辅助账，将支出类型选择为“资本化”，按规定归集该项目的资本化支出。二是对于支出类型为“资本化”的跨年度研发项目，可仅设置一套辅助账，在形成无形资产年度再将相关数据填写汇总表；若企业根据自身核算方式，选择每年新设辅助账的，可在辅助账中自行新增“期初余额”行次，实现每个年度资本化金额的结转，在形成无形资产年度再将相关数据填写到汇总表。</t>
  </si>
  <si>
    <t xml:space="preserve">    （六）凭证信息中有关日期、种类、号数、摘要等信息：按照每一张可以加计扣除的研发费用的会计凭证信息填写。采用会计电算化的企业，通过软件导出的明细数据，可以视同相关凭证信息，不再重复填写。</t>
  </si>
  <si>
    <t xml:space="preserve">    （七）会计凭证记载金额：按照国家财务会计制度规定核算的金额填写。每张会计凭证对应一个行次，若一张会计凭证上记载了多项不同类型的费用的，如既记载了人员人工费用，又记载了其他相关费用，可填写在同一行，无需再分行填写。</t>
  </si>
  <si>
    <t xml:space="preserve">    （八）税法规定的归集金额：填写对应的会计凭证中，可纳入加计扣除范围的研发费用的金额。  </t>
  </si>
  <si>
    <t xml:space="preserve">    （九）费用明细（税法规定）：按不同费用类型分项填写可加计扣除范围的研发费用数额。对于同一凭证涉及多个研发项目的费用的，按合理方法在不同研发项目之间分配后填写。合理方法由企业根据实际情况具体确定。</t>
  </si>
  <si>
    <t xml:space="preserve">    1.人员人工费用。填写会计凭证中，可纳入加计扣除范围的人员人工费用，具体包括：直接从事研发活动人员的工资薪金、基本养老保险费、基本医疗保险费、失业保险费、工伤保险费、生育保险费和住房公积金，以及外聘研发人员的劳务费用。其中，对于研发人员的股权激励支出，如在税前扣除的当年，该人员仍从事研发工作，则可将可加计扣除的金额填入本栏次；对于该人员不再从事研发活动的，对其应归属于研发费用的部分不再填写本表，直接填入《2021版研发支出辅助账汇总表》“其中：其他事项”行“人员人工费用”列。</t>
  </si>
  <si>
    <t xml:space="preserve">    2.直接投入费用。填写会计凭证中，可纳入加计扣除范围的直接投入费用，具体包括：研发活动直接消耗的材料、燃料和动力费用，用于中间试验和产品试制的模具、工艺装备开发及制造费，不构成固定资产的样品、样机及一般测试手段购置费，试制产品的检验费，用于研发活动的仪器、设备的运行维护、调整、检验、维修等费用，以及通过经营租赁方式租入的用于研发活动的仪器、设备租赁费。</t>
  </si>
  <si>
    <t xml:space="preserve">    3.折旧费用。填写会计凭证中，可纳入加计扣除范围的折旧费用，具体是指用于研发活动的仪器、设备的折旧费。</t>
  </si>
  <si>
    <t xml:space="preserve">    4.无形资产摊销。填写会计凭证中，可纳入加计扣除范围的无形资产摊销费用，具体是指用于研发活动的软件、专利权、非专利技术（包括许可证、专有技术、设计和计算方法等）的摊销费用。</t>
  </si>
  <si>
    <t xml:space="preserve">    5.新产品设计费等。填写会计凭证中，可纳入加计扣除范围的新产品设计费、新工艺规程制定费、新药研制的临床试验费、勘探开发技术的现场试验费。</t>
  </si>
  <si>
    <t xml:space="preserve">    6.其他相关费用。填写会计凭证中，可纳入加计扣除范围的与研发活动直接相关的其他费用，具体包括：技术图书资料费、资料翻译
费、专家咨询费、高新科技研发保险费，研发成果的检索、分析、评议、论证、鉴定、评审、评估、验收费用，知识产权的申请费、注册
费、代理费，差旅费、会议费，职工福利费、补充养老保险费、补充医疗保险费。</t>
  </si>
  <si>
    <t xml:space="preserve">    7.委托研发费用。填写会计凭证中，可纳入加计扣除范围的委托研发费用，具体填写委托方实际支付给受托方的金额。对于研发项目仅涉及委托研发一种研发形式的，其他栏次无需填写。</t>
  </si>
  <si>
    <t xml:space="preserve">    二、表内表间关系</t>
  </si>
  <si>
    <t xml:space="preserve">    （一）合计金额：根据各行数据汇总填写。</t>
  </si>
  <si>
    <t xml:space="preserve">    （二）税法规定的归集金额:根据费用明细（税法规定）各列数据汇总填写。</t>
  </si>
  <si>
    <t xml:space="preserve">    （三）所属期间的费用化项目、已结束的资本化项目的辅助账，按项目编号、项目名称、完成情况、支出类型等表头信息和表中“合计金额”行的相关栏次金额填至《2021版研发支出辅助账汇总表》中。</t>
  </si>
  <si>
    <t>2021版研发支出辅助账汇总表</t>
  </si>
  <si>
    <t>纳税人识别号（统一社会信用代码）：</t>
  </si>
  <si>
    <t>纳税人名称：</t>
  </si>
  <si>
    <t>属期：</t>
  </si>
  <si>
    <t xml:space="preserve">支出类型 </t>
  </si>
  <si>
    <t>允许加计扣除金额合计</t>
  </si>
  <si>
    <t>新产品
设计费等</t>
  </si>
  <si>
    <t>前五项 小计</t>
  </si>
  <si>
    <t>其他相关费用及限额</t>
  </si>
  <si>
    <t>委托研发费用及限额</t>
  </si>
  <si>
    <t>其他相关费用合计</t>
  </si>
  <si>
    <t>经限额调整后的其他相关费用</t>
  </si>
  <si>
    <t>允许加计扣除的委托境内机构或个人进行研发活动所发生的费用</t>
  </si>
  <si>
    <t>经限额调整后的委托境外机构进行研发活动所发生的费用</t>
  </si>
  <si>
    <t>1</t>
  </si>
  <si>
    <t>2</t>
  </si>
  <si>
    <t>3</t>
  </si>
  <si>
    <t>4</t>
  </si>
  <si>
    <t>5</t>
  </si>
  <si>
    <t>6</t>
  </si>
  <si>
    <t>7.1</t>
  </si>
  <si>
    <t>7.2</t>
  </si>
  <si>
    <t>资本化金额小计</t>
  </si>
  <si>
    <t>费用化金额小计</t>
  </si>
  <si>
    <t xml:space="preserve">    其中：其他事项</t>
  </si>
  <si>
    <t>金额合计</t>
  </si>
  <si>
    <t>法定代表人（签章）：</t>
  </si>
  <si>
    <t xml:space="preserve">    （一）本表根据所属期间的费用化、已结束的资本化项目的《2021版研发支出辅助账》中项目编号、项目名称、完成情况、支出类型等表头信息和“合计金额”行的相应栏次金额填写、计算。</t>
  </si>
  <si>
    <t xml:space="preserve">    （二）“其中：其他事项”行次填写符合研发费用加计扣除条件，但不能归集到具体研发项目的支出，例如：接受股权激励的研发人员，在税前扣除当年不再从事研发活动的，将股权激励支出直接填入“其中：其他事项”行次。</t>
  </si>
  <si>
    <t xml:space="preserve">    （一）“资本化金额小计”行：汇总填写所属期间已结束的资本化项目的合计金额。</t>
  </si>
  <si>
    <t xml:space="preserve">    （二）“费用化金额小计”行：汇总填写所属期间费用化项目及“其中：其他事项”行的合计金额。</t>
  </si>
  <si>
    <t xml:space="preserve">    （三）“金额合计”行 =“资本化金额小计”行+“费用化金额小计”行。 </t>
  </si>
  <si>
    <t xml:space="preserve">    （四）“允许加计扣除金额合计”列=第6列+第7.2列+第8.2列+第8.4列。  </t>
  </si>
  <si>
    <t xml:space="preserve">    （五）“前五项小计”列=第1列+第2列+第3列+第4列+第5列。</t>
  </si>
  <si>
    <t xml:space="preserve">    （六）第7.2列“经限额调整后的其他相关费用”按以下规则填写：</t>
  </si>
  <si>
    <t xml:space="preserve">    1.“金额合计”行：第7.2列根据第7.1列合计数与第6列×10％/(1-10％)孰小值填写。</t>
  </si>
  <si>
    <t xml:space="preserve">    2.除费用化项目以外的其他行：第7.2列=（“金额合计”行第7.2列÷“金额合计”行第7.1列）×相应行第7.1列，主要是将允许加计扣除的其他相关费用分摊至每一资本化项目，以便其以后年度采取摊销方式加计扣除。</t>
  </si>
  <si>
    <t xml:space="preserve">    （七）第8.2列=第8.1列×80%。      </t>
  </si>
  <si>
    <t xml:space="preserve">    （八）第8.4列“经限额调整后的委托境外机构进行研发活动所发生的费用”按以下原则填写：</t>
  </si>
  <si>
    <t xml:space="preserve">     1.“金额合计”行：第8.4列根据（第6列+第7.2列+第8.2列）×2/3与第8.3列×80%的孰小值填写。</t>
  </si>
  <si>
    <t xml:space="preserve">     2.除费用化项目以外的其他行：第8.4列=（“金额合计”行第8.4列÷“金额合计”行第8.3列）×相应行第8.3列，主要是将允许加计扣除的委托境外研发费用分摊至每一资本化项目，以便其以后年度采取摊销方式加计扣除。</t>
  </si>
  <si>
    <t xml:space="preserve">    （九）企业享受研发费用加计扣除优惠时，将本表“金额合计”行全部栏次、“资本化金额小计”行及“费用化金额小计”行对应的“允许加计扣除金额合计”栏次，填写至《研发费用加计扣除优惠明细表》（A107012）相应栏次。</t>
  </si>
  <si>
    <t>A107012  研发费用加计扣除优惠明细表</t>
  </si>
  <si>
    <t>行次</t>
  </si>
  <si>
    <t>项        目</t>
  </si>
  <si>
    <t>金额（数量）</t>
  </si>
  <si>
    <t xml:space="preserve"> </t>
  </si>
  <si>
    <t>业务规则说明</t>
  </si>
  <si>
    <t>本年可享受研发费用加计扣除项目数量</t>
  </si>
  <si>
    <t>包含已经形成无形资产、在本年摊销且享受研发费用加计扣除优惠政策的项目数量。</t>
  </si>
  <si>
    <t>一、自主研发、合作研发、集中研发（3+7+16+19+23+34）</t>
  </si>
  <si>
    <t>对于资本化的研发支出，在无形资产形成年度，第2行至第39行应包含当年度及以前年度为该项无形资产的所有研发支出；尚未形成无形资产的年度和形成无形资产之后的年度，第2行至第39行不包含该项无形资产的研发支出。</t>
  </si>
  <si>
    <t>（一）人员人工费用（4+5+6）</t>
  </si>
  <si>
    <t>当纳税人使用《2021版研发支出辅助账样式》或者使用自行设计研发支出辅助账样式时，第3行“（一）人员人工费用”、第7行“（二）直接投入费用”、第16行“（三）折旧费用”、第19行“（四）无形资产摊销”、第23行“（五）新产品设计费等”、第28行“（六）其他相关费用”等行次下的明细行次无需填报，上述行次不执行规定的表内计算关系。</t>
  </si>
  <si>
    <t>1.直接从事研发活动人员工资薪金</t>
  </si>
  <si>
    <t>2.直接从事研发活动人员五险一金</t>
  </si>
  <si>
    <t>3.外聘研发人员的劳务费用</t>
  </si>
  <si>
    <t>（二）直接投入费用（8+9+10+11+12+13+14+15）</t>
  </si>
  <si>
    <t>1.研发活动直接消耗材料费用</t>
  </si>
  <si>
    <t>2.研发活动直接消耗燃料费用</t>
  </si>
  <si>
    <t>3.研发活动直接消耗动力费用</t>
  </si>
  <si>
    <t>4.用于中间试验和产品试制的模具、工艺装备开发及制造费</t>
  </si>
  <si>
    <t>5.用于不构成固定资产的样品、样机及一般测试手段购置费</t>
  </si>
  <si>
    <t>6.用于试制产品的检验费</t>
  </si>
  <si>
    <t>7.用于研发活动的仪器、设备的运行维护、调整、检验、维修等费用</t>
  </si>
  <si>
    <t>8.通过经营租赁方式租入的用于研发活动的仪器、设备租赁费</t>
  </si>
  <si>
    <t>（三）折旧费用（17+18）</t>
  </si>
  <si>
    <t>1.用于研发活动的仪器的折旧费</t>
  </si>
  <si>
    <t>2.用于研发活动的设备的折旧费</t>
  </si>
  <si>
    <t>（四）无形资产摊销（20+21+22）</t>
  </si>
  <si>
    <t>19行次的“无形资产摊销”不含适用加计扣除优惠的无形资产的摊销，此部分单独填报在43、44行次。需要区分开两类无形资产。</t>
  </si>
  <si>
    <t>1.用于研发活动的软件的摊销费用</t>
  </si>
  <si>
    <t>2.用于研发活动的专利权的摊销费用</t>
  </si>
  <si>
    <t>3.用于研发活动的非专利技术（包括许可证、专有技术、设计和计算方法等）的摊销费用</t>
  </si>
  <si>
    <t>（五）新产品设计费等（24+25+26+27）</t>
  </si>
  <si>
    <t>1.新产品设计费</t>
  </si>
  <si>
    <t>2.新工艺规程制定费</t>
  </si>
  <si>
    <t>3.新药研制的临床试验费</t>
  </si>
  <si>
    <t>4.勘探开发技术的现场试验费</t>
  </si>
  <si>
    <t>（六）其他相关费用(29+30+31+32+33)</t>
  </si>
  <si>
    <t>1.技术图书资料费、资料翻译费、专家咨询费、高新科技研发保险费</t>
  </si>
  <si>
    <t>2.研发成果的检索、分析、评议、论证、鉴定、评审、评估、验收费用</t>
  </si>
  <si>
    <t>3.知识产权的申请费、注册费、代理费</t>
  </si>
  <si>
    <t>4.职工福利费、补充养老保险费、补充医疗保险费</t>
  </si>
  <si>
    <t>5.差旅费、会议费</t>
  </si>
  <si>
    <t>（七）经限额调整后的其他相关费用</t>
  </si>
  <si>
    <t>二、委托研发 (36+37+39)</t>
  </si>
  <si>
    <t>（一）委托境内机构或个人进行研发活动所发生的费用</t>
  </si>
  <si>
    <t>按实际发生额填报</t>
  </si>
  <si>
    <t>（二）委托境外机构进行研发活动发生的费用</t>
  </si>
  <si>
    <t>其中：允许加计扣除的委托境外机构进行研发活动发生的费用</t>
  </si>
  <si>
    <t>根据财税〔2018〕64号，企业委托境外进行研发活动所发生的费用，按照费用实际发生额的80%计入委托方的委托境外研发费用，不超过境内符合条件的研发费用三分之二的部分可加计扣除。</t>
  </si>
  <si>
    <t>（三）委托境外个人进行研发活动发生的费用</t>
  </si>
  <si>
    <t>委托境外个人进行研发活动所发生的费用不可加计扣除</t>
  </si>
  <si>
    <t>三、年度研发费用小计(2+36×80%+38)</t>
  </si>
  <si>
    <t>（一）本年费用化金额</t>
  </si>
  <si>
    <t>（二）本年资本化金额</t>
  </si>
  <si>
    <t>四、本年形成无形资产摊销额</t>
  </si>
  <si>
    <t>五、以前年度形成无形资产本年摊销额</t>
  </si>
  <si>
    <t>六、允许扣除的研发费用合计（41+43+44）</t>
  </si>
  <si>
    <t>减：特殊收入部分</t>
  </si>
  <si>
    <t>七、允许扣除的研发费用抵减特殊收入后的金额(45-46)</t>
  </si>
  <si>
    <t>减：当年销售研发活动直接形成产品（包括组成部分）对应的材料部分</t>
  </si>
  <si>
    <t>减：以前年度销售研发活动直接形成产品（包括组成部分）对应材料部分结转金额</t>
  </si>
  <si>
    <t>八、加计扣除比例（%）</t>
  </si>
  <si>
    <t>集成电路和工业母机企业研发费用加计扣除比例120%（2027年），其他行业100%</t>
  </si>
  <si>
    <t>九、本年研发费用加计扣除总额（47-48-49）×50</t>
  </si>
  <si>
    <t>十、销售研发活动直接形成产品（包括组成部分）对应材料部分结转以后年度扣减金额（当47-48-49≥0，本行＝0；当47-48-49＜0，本行＝47-48-49的绝对值)</t>
  </si>
  <si>
    <t>纳税人根据研发支出辅助账样式选择填报不同行次，当纳税人使用《2021版研发支出辅助账样式》或者使用自行设计研发支出辅助账样式时，第3行“（一）人员人工费用”、第7行“（二）直接投入费用”、第16行“（三）折旧费用”、第19行“（四）无形资产摊销”、第23行“（五）新产品设计费等”、第28行“（六）其他相关费用”等行次下的明细行次无需填报，上述行次不执行规定的表内计算关系。对于资本化的研发支出，在无形资产形成年度，第2行至第39行应包含当年度及以前年度为该项无形资产的所有研发支出；尚未形成无形资产的年度和形成无形资产之后的年度，第2行至第39行不包含该项无形资产的研发支出。</t>
  </si>
  <si>
    <t>1.第1行“本年可享受研发费用加计扣除项目数量”：填报纳税人研发项目中本年可享受研发费用加计扣除优惠政策的项目数量，包含已经形成无形资产、在本年摊销且享受研发费用加计扣除优惠政策的项目数量。</t>
  </si>
  <si>
    <t>2.第2行“自主研发、合作研发、集中研发”：填报第3行＋第7行＋第16行＋第19行＋第23行＋第34行金额。</t>
  </si>
  <si>
    <t>3.第3行“人员人工费用”：填报第4行＋第5行＋第6行金额。</t>
  </si>
  <si>
    <t>直接从事研发活动的人员、外聘研发人员同时从事非研发活动的，填报按实际工时占比等合理方法分配的用于研发活动的相关费用。</t>
  </si>
  <si>
    <t>4.第4行“直接从事研发活动人员工资薪金”：填报纳税人直接从事研发活动人员，包括研究人员、技术人员、辅助人员的工资、薪金、奖金、津贴、补贴以及按规定可以在税前扣除的对研发人员股权激励的支出。</t>
  </si>
  <si>
    <t>5.第5行“直接从事研发活动人员五险一金”：填报纳税人直接从事研发活动人员，包括研究人员、技术人员、辅助人员的基本养老保险费、基本医疗保险费、失业保险费、工伤保险费、生育保险费和住房公积金。</t>
  </si>
  <si>
    <t>6.第6行“外聘研发人员的劳务费用”：填报与纳税人或劳务派遣企业签订劳务用工协议（合同）的外聘研发人员的劳务费用，以及临时聘用的研究人员、技术人员、辅助人员的劳务费用。</t>
  </si>
  <si>
    <t>7.第7行“直接投入费用”：填报第8行＋……＋第15行金额。</t>
  </si>
  <si>
    <t>8.第8行“研发活动直接消耗材料费用”：填报纳税人研发活动直接消耗的材料费用。</t>
  </si>
  <si>
    <t>9.第9行“研发活动直接消耗燃料费用”：填报纳税人研发活动直接消耗的燃料费用。</t>
  </si>
  <si>
    <t>10.第10行“研发活动直接消耗动力费用”：填报纳税人研发活动直接消耗的动力费用。</t>
  </si>
  <si>
    <t>11.第11行“用于中间试验和产品试制的模具、工艺装备开发及制造费”：填报纳税人研发活动中用于中间试验和产品试制的模具、工艺装备开发及制造的费用。</t>
  </si>
  <si>
    <t>12.第12行“用于不构成固定资产的样品、样机及一般测试手段购置费”：填报纳税人研发活动中用于不构成固定资产的样品、样机及一般测试手段购置费用。</t>
  </si>
  <si>
    <t>13.第13行“用于试制产品的检验费”：填报纳税人研发活动中用于试制产品的检验费。</t>
  </si>
  <si>
    <t>14.第14行“用于研发活动的仪器、设备的运行维护、调整、检验、维修等费用”：填报纳税人用于研发活动的仪器、设备的运行维护、调整、检验、维修等费用。</t>
  </si>
  <si>
    <t>15.第15行“通过经营租赁方式租入的用于研发活动的仪器、设备租赁费”：填报纳税人经营租赁方式租入的用于研发活动的仪器、设备租赁费。以经营租赁方式租入的用于研发活动的仪器、设备，同时用于非研发活动的，填报按实际工时占比等合理方法分配的用于研发活动的相关费用。</t>
  </si>
  <si>
    <t>16.第16行“折旧费用”：填报第17行＋第18行金额。</t>
  </si>
  <si>
    <t>用于研发活动的仪器、设备，同时用于非研发活动的，填报按实际工时占比等合理方法分配的用于研发活动的相关费用。纳税人用于研发活动的仪器、设备，符合税收规定且选择加速折旧优惠政策的，在享受研发费用税前加计扣除政策时，按照税前扣除的折旧口径填报。</t>
  </si>
  <si>
    <t>17.第17行“用于研发活动的仪器的折旧费”：填报纳税人用于研发活动的仪器的折旧费。</t>
  </si>
  <si>
    <t>18.第18行“用于研发活动的设备的折旧费”：填报纳税人用于研发活动的设备的折旧费。</t>
  </si>
  <si>
    <t>19.第19行“无形资产摊销”：填报第20行＋第21行＋第22行金额。用于研发活动的无形资产，同时用于非研发活动的，填报按实际工时占比等合理方法在研发费用和生产经营费用间分配的用于研发活动的相关费用。纳税人用于研发活动的无形资产，符合税收规定且选择加速摊销优惠政策的，在享受研发费用税前加计扣除政策时，按照税前扣除的摊销口径填报。</t>
  </si>
  <si>
    <t>20.第20行“用于研发活动的软件的摊销费用”：填报纳税人用于研发活动的软件的摊销费用。</t>
  </si>
  <si>
    <t>21.第21行“用于研发活动的专利权的摊销费用”：填报纳税人用于研发活动的专利权的摊销费用。</t>
  </si>
  <si>
    <t>22.第22行“用于研发活动的非专利技术（包括许可证、专有技术、设计和计算方法等）的摊销费用”：填报纳税人用于研发活动的非专利技术（包括许可证、专有技术、设计和计算方法等）的摊销费用。</t>
  </si>
  <si>
    <t>23.第23行“新产品设计费等”：填报第24行＋第25行＋第26行＋第27行金额。新产品设计费、新工艺规程制定费、新药研制的临床试验费、勘探开发技术的现场试验费等由辅助生产部门提供的，填报按照一定的分配标准分配给研发项目的金额。</t>
  </si>
  <si>
    <t>24.第24行“新产品设计费”：填报纳税人研发活动中发生的新产品设计费。</t>
  </si>
  <si>
    <t>25.第25行“新工艺规程制定费”：填报纳税人研发活动中发生的新工艺规程制定费。</t>
  </si>
  <si>
    <t>26.第26行“新药研制的临床试验费”：填报纳税人研发活动中发生的新药研制的临床试验费。</t>
  </si>
  <si>
    <t>27.第27行“勘探开发技术的现场试验费”：填报纳税人研发活动中发生的勘探开发技术的现场试验费。</t>
  </si>
  <si>
    <t>28.第28行“其他相关费用”：填报第29行＋……＋第33行金额。</t>
  </si>
  <si>
    <t>29.第29行“技术图书资料费、资料翻译费、专家咨询费、高新科技研发保险费”：填报纳税人研发活动中发生的技术图书资料费、资料翻译费、专家咨询费、高新科技研发保险费。</t>
  </si>
  <si>
    <t>30.第30行“研发成果的检索、分析、评议、论证、鉴定、评审、评估、验收费用”：填报纳税人研发活动中发生的研发成果的检索、分析、评议、论证、鉴定、评审、评估、验收费用。</t>
  </si>
  <si>
    <t>31.第31行“知识产权的申请费、注册费、代理费”：填报纳税人研发活动中发生的知识产权的申请费、注册费、代理费。</t>
  </si>
  <si>
    <t>32.第32行“职工福利费、补充养老保险费、补充医疗保险费”：填报纳税人研发活动人员发生的职工福利费、补充养老保险费、补充医疗保险费。</t>
  </si>
  <si>
    <t>33.第33行“差旅费、会议费”：填报纳税人研发活动发生的差旅费、会议费。</t>
  </si>
  <si>
    <t>34.第34行“经限额调整后的其他相关费用”：填报第28行与其他相关费用限额的孰小值。其他相关费用限额按以下公式计算：</t>
  </si>
  <si>
    <t>其他相关费用限额＝（第3行＋第7行＋第16行＋第19行＋第23行）×10%÷（1－10%）。</t>
  </si>
  <si>
    <t>35.第35行“委托研发”：填报第36行＋第37行＋第39行金额。</t>
  </si>
  <si>
    <t>36.第36行“委托境内机构或个人进行研发活动所发生的费用”：填报纳税人研发项目委托境内机构或个人进行研发活动所发生的费用。</t>
  </si>
  <si>
    <t>37.第37行“委托境外机构进行研发活动发生的费用”：填报纳税人研发项目委托境外机构进行研发活动所发生的费用。</t>
  </si>
  <si>
    <t>38.第38行“允许加计扣除的委托境外机构进行研发活动发生的费用”：填报纳税人按照税收规定允许加计扣除的委托境外机构进行研发活动发生的研发费用。</t>
  </si>
  <si>
    <t>39.第39行“委托境外个人进行研发活动发生的费用”：填报纳税人委托境外个人进行研发活动发生的费用。本行不参与加计扣除优惠金额的计算。</t>
  </si>
  <si>
    <t>40.第40行“年度研发费用小计”：填报第2行＋第36行×80%＋第38行金额。</t>
  </si>
  <si>
    <t>41.第41行“本年费用化金额”：填报纳税人研发活动本年费用化部分金额。</t>
  </si>
  <si>
    <t>42.第42行“本年资本化金额”：填报纳税人研发活动本年结转无形资产的金额。</t>
  </si>
  <si>
    <t>43.第43行“本年形成无形资产摊销额”：填报纳税人研发活动本年形成无形资产的摊销额。</t>
  </si>
  <si>
    <t>44.第44行“以前年度形成无形资产本年摊销额”：填报纳税人研发活动以前年度形成无形资产本年摊销额。</t>
  </si>
  <si>
    <t>45.第45行“允许扣除的研发费用合计”填报第41行＋第43行＋第44行金额。</t>
  </si>
  <si>
    <t>46.第46行“特殊收入部分”：填报纳税人已归集计入研发费用，但在当期取得的研发过程中形成的下脚料、残次品、中间试制品等特殊收入。</t>
  </si>
  <si>
    <t>47.第47行“允许扣除的研发费用抵减特殊收入后的金额”：填报第45行－第46行金额。</t>
  </si>
  <si>
    <t>48.第48行“当年销售研发活动直接形成产品（包括组成部分）对应的材料部分”：填报纳税人当年销售研发活动直接形成产品（包括组成部分）对应的材料部分金额。</t>
  </si>
  <si>
    <t>49.第49行“以前年度销售研发活动直接形成产品（包括组成部分）对应材料部分结转金额”：填报纳税人以前年度销售研发活动直接形成产品（包括组成部分）对应材料部分结转金额。</t>
  </si>
  <si>
    <t>50.第50行“加计扣除比例及计算方法”：根据有关规定填报加计扣除比例及计算方法。</t>
  </si>
  <si>
    <t>51.第51行“本年研发费用加计扣除总额”：填报（第47行－第48行－第49行）×第50行金额。当第47行－第48行－第49行＜0时，本行填报0。</t>
  </si>
  <si>
    <t>52.第52行“销售研发活动直接形成产品（包括组成部分）对应材料部分结转以后年度扣减金额”：当第47行－第48行－第49行≥0时，填报0；当第47行－第48行－第49行＜0时，填报第47行－第48行－第49行金额的绝对值。</t>
  </si>
  <si>
    <t>二、表内、表间关系</t>
  </si>
  <si>
    <t>（一）表内关系</t>
  </si>
  <si>
    <t>1.第2行＝第3＋7＋16＋19＋23＋34行。</t>
  </si>
  <si>
    <t>2.第3行＝第4＋5＋6行。当表A000000“224研发支出辅助账样式”填报“2021版”或“自行设计”时，不执行本规则。</t>
  </si>
  <si>
    <t>3.第7行＝第8＋9＋10＋11＋12＋13＋14＋15行。当表A000000“224研发支出辅助账样式”填报“2021版”或“自行设计”时，不执行本规则。</t>
  </si>
  <si>
    <t>4.第16行＝第17＋18行。当表A000000“224研发支出辅助账样式”填报“2021版”或“自行设计”时，不执行本规则。</t>
  </si>
  <si>
    <t>5.第19行＝第20＋21＋22行。当表A000000“224研发支出辅助账样式”填报“2021版”或“自行设计”时，不执行本规则。</t>
  </si>
  <si>
    <t>6.第23行＝第24＋25＋26＋27行。当表A000000“224研发支出辅助账样式”填报“2021版”或“自行设计”时，不执行本规则。</t>
  </si>
  <si>
    <t>7.第28行＝第29＋30＋31＋32＋33行。当表A000000“224研发支出辅助账样式”填报“2021版”或“自行设计”时，不执行本规则。</t>
  </si>
  <si>
    <t>8.第34行＝第28行与（第3＋7＋16＋19＋23行）×10%÷（1－10%）的孰小值。</t>
  </si>
  <si>
    <t>9.第35行＝第36＋37＋39行。</t>
  </si>
  <si>
    <t>10.第40行＝第2行＋第36行×80%＋第38行，第40行=第41＋42行。</t>
  </si>
  <si>
    <t>11.第45行＝第41＋43＋44行。</t>
  </si>
  <si>
    <t>12.第47行＝第45－46行。</t>
  </si>
  <si>
    <t>13.第51行＝（第47－48－49行）×第50行；当第47－48－49行＜0时，第51行＝0。</t>
  </si>
  <si>
    <t>14.当第47－48－49行≥0时，第52行＝0；当第47－48－49行＜0时，第52行＝第46－47－48行金额的绝对值。</t>
  </si>
  <si>
    <t>（二）表间关系</t>
  </si>
  <si>
    <t>第51行＝表A100000或者A200000第22行下对应项目金额。</t>
  </si>
  <si>
    <t>组织编号</t>
  </si>
  <si>
    <t>账套编号</t>
  </si>
  <si>
    <t>对方科目</t>
  </si>
  <si>
    <t>余额方向</t>
  </si>
  <si>
    <t>余额金额</t>
  </si>
  <si>
    <t>资产类别</t>
  </si>
  <si>
    <t>否</t>
  </si>
  <si>
    <t>3.【所涉研发项目】详情展示与本资产关联过的项目基本信息和分摊费用金额信息。</t>
  </si>
  <si>
    <t>科目余额表</t>
  </si>
  <si>
    <t>数据输入</t>
  </si>
  <si>
    <t>科目辅助余额表</t>
  </si>
  <si>
    <t>规则引用</t>
  </si>
  <si>
    <t>科目明细账</t>
  </si>
  <si>
    <t>计算分摊结果</t>
  </si>
  <si>
    <t>科目辅助明细账</t>
  </si>
  <si>
    <t>生成分摊分录</t>
  </si>
  <si>
    <t>工资薪酬明细表、工时分配表（+关联的记账凭证）</t>
  </si>
  <si>
    <t>分配计算表与辅助账分录明细相关联</t>
  </si>
  <si>
    <t>辅助账与总账校验</t>
  </si>
  <si>
    <t>固定资产折旧明细、设备使用记录表（+关联的记账凭证）</t>
  </si>
  <si>
    <t>无形资产折旧明细、分配表（+关联的记账凭证）</t>
  </si>
  <si>
    <t>仪器设备租赁费计提表、费用报销单（+关联的记账凭证）</t>
  </si>
  <si>
    <t>费用分割单</t>
  </si>
  <si>
    <t>分摊法一旦确定，在一个纳税年度内不应随意变更。系统应记录分摊方法的版本和启用时间，变更时需留存审批记录</t>
  </si>
  <si>
    <t>若设备享受加速折旧优惠，税务口径的月折旧额可能与会计口径不同。加计扣除的分摊基数应取税务口径的折旧额。系统需设置"是否加速折旧"标识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</si>
</sst>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General;;"/>
    <numFmt numFmtId="177" formatCode="yyyy/m/d\ h:mm;@"/>
    <numFmt numFmtId="178" formatCode="0.00_ "/>
    <numFmt numFmtId="179" formatCode="yyyy/m/d;@"/>
  </numFmts>
  <fonts count="54">
    <font>
      <sz val="11"/>
      <color theme="1"/>
      <name val="宋体"/>
      <charset val="134"/>
      <scheme val="minor"/>
    </font>
    <font>
      <b/>
      <sz val="12"/>
      <color rgb="FFFF0000"/>
      <name val="宋体"/>
      <charset val="134"/>
    </font>
    <font>
      <b/>
      <sz val="12"/>
      <name val="宋体"/>
      <charset val="134"/>
    </font>
    <font>
      <b/>
      <sz val="12"/>
      <color theme="1"/>
      <name val="宋体"/>
      <charset val="134"/>
    </font>
    <font>
      <sz val="12"/>
      <name val="宋体"/>
      <charset val="134"/>
    </font>
    <font>
      <sz val="11.05"/>
      <name val="宋体"/>
      <charset val="134"/>
      <scheme val="minor"/>
    </font>
    <font>
      <sz val="11"/>
      <color rgb="FF000000"/>
      <name val="宋体"/>
      <charset val="134"/>
      <scheme val="minor"/>
    </font>
    <font>
      <b/>
      <sz val="16"/>
      <name val="黑体"/>
      <charset val="134"/>
    </font>
    <font>
      <b/>
      <sz val="10"/>
      <name val="宋体"/>
      <charset val="134"/>
    </font>
    <font>
      <b/>
      <sz val="11"/>
      <color rgb="FFFF0000"/>
      <name val="宋体"/>
      <charset val="134"/>
      <scheme val="minor"/>
    </font>
    <font>
      <sz val="10"/>
      <name val="宋体"/>
      <charset val="134"/>
    </font>
    <font>
      <sz val="10"/>
      <name val="Arial"/>
      <charset val="134"/>
    </font>
    <font>
      <b/>
      <sz val="10"/>
      <name val="等线"/>
      <charset val="134"/>
    </font>
    <font>
      <u/>
      <sz val="10"/>
      <color rgb="FF0000FF"/>
      <name val="等线"/>
      <charset val="134"/>
    </font>
    <font>
      <sz val="16"/>
      <name val="黑体"/>
      <charset val="134"/>
    </font>
    <font>
      <sz val="12"/>
      <name val="仿宋"/>
      <charset val="134"/>
    </font>
    <font>
      <sz val="11"/>
      <name val="仿宋"/>
      <charset val="134"/>
    </font>
    <font>
      <b/>
      <sz val="16"/>
      <name val="仿宋"/>
      <charset val="134"/>
    </font>
    <font>
      <b/>
      <sz val="11"/>
      <name val="仿宋"/>
      <charset val="134"/>
    </font>
    <font>
      <b/>
      <u/>
      <sz val="11"/>
      <name val="仿宋"/>
      <charset val="134"/>
    </font>
    <font>
      <sz val="9"/>
      <name val="仿宋"/>
      <charset val="134"/>
    </font>
    <font>
      <sz val="12"/>
      <name val="黑体"/>
      <charset val="134"/>
    </font>
    <font>
      <b/>
      <sz val="12"/>
      <name val="楷体_GB2312"/>
      <charset val="0"/>
    </font>
    <font>
      <sz val="12"/>
      <name val="仿宋_GB2312"/>
      <charset val="0"/>
    </font>
    <font>
      <sz val="12"/>
      <name val="仿宋_GB2312"/>
      <charset val="134"/>
    </font>
    <font>
      <u/>
      <sz val="12"/>
      <color rgb="FF00B0F0"/>
      <name val="宋体"/>
      <charset val="134"/>
    </font>
    <font>
      <u/>
      <sz val="11"/>
      <color rgb="FF800080"/>
      <name val="宋体"/>
      <charset val="0"/>
      <scheme val="minor"/>
    </font>
    <font>
      <sz val="12"/>
      <color rgb="FFFF0000"/>
      <name val="宋体"/>
      <charset val="134"/>
    </font>
    <font>
      <b/>
      <sz val="11"/>
      <color theme="1"/>
      <name val="宋体"/>
      <charset val="134"/>
      <scheme val="minor"/>
    </font>
    <font>
      <sz val="11"/>
      <color rgb="FFFF0000"/>
      <name val="宋体"/>
      <charset val="134"/>
      <scheme val="minor"/>
    </font>
    <font>
      <sz val="12"/>
      <color rgb="FF0F1115"/>
      <name val="宋体"/>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color rgb="FF0F1115"/>
      <name val="Segoe UI"/>
      <charset val="134"/>
    </font>
    <font>
      <b/>
      <i/>
      <sz val="12"/>
      <name val="宋体"/>
      <charset val="134"/>
    </font>
    <font>
      <sz val="9"/>
      <name val="宋体"/>
      <charset val="134"/>
    </font>
    <font>
      <b/>
      <sz val="9"/>
      <name val="宋体"/>
      <charset val="134"/>
    </font>
  </fonts>
  <fills count="37">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theme="8" tint="0.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6" borderId="28"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29" applyNumberFormat="0" applyFill="0" applyAlignment="0" applyProtection="0">
      <alignment vertical="center"/>
    </xf>
    <xf numFmtId="0" fontId="36" fillId="0" borderId="29" applyNumberFormat="0" applyFill="0" applyAlignment="0" applyProtection="0">
      <alignment vertical="center"/>
    </xf>
    <xf numFmtId="0" fontId="37" fillId="0" borderId="30" applyNumberFormat="0" applyFill="0" applyAlignment="0" applyProtection="0">
      <alignment vertical="center"/>
    </xf>
    <xf numFmtId="0" fontId="37" fillId="0" borderId="0" applyNumberFormat="0" applyFill="0" applyBorder="0" applyAlignment="0" applyProtection="0">
      <alignment vertical="center"/>
    </xf>
    <xf numFmtId="0" fontId="38" fillId="7" borderId="31" applyNumberFormat="0" applyAlignment="0" applyProtection="0">
      <alignment vertical="center"/>
    </xf>
    <xf numFmtId="0" fontId="39" fillId="8" borderId="32" applyNumberFormat="0" applyAlignment="0" applyProtection="0">
      <alignment vertical="center"/>
    </xf>
    <xf numFmtId="0" fontId="40" fillId="8" borderId="31" applyNumberFormat="0" applyAlignment="0" applyProtection="0">
      <alignment vertical="center"/>
    </xf>
    <xf numFmtId="0" fontId="41" fillId="9" borderId="33" applyNumberFormat="0" applyAlignment="0" applyProtection="0">
      <alignment vertical="center"/>
    </xf>
    <xf numFmtId="0" fontId="42" fillId="0" borderId="34" applyNumberFormat="0" applyFill="0" applyAlignment="0" applyProtection="0">
      <alignment vertical="center"/>
    </xf>
    <xf numFmtId="0" fontId="43" fillId="0" borderId="35" applyNumberFormat="0" applyFill="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7" fillId="36" borderId="0" applyNumberFormat="0" applyBorder="0" applyAlignment="0" applyProtection="0">
      <alignment vertical="center"/>
    </xf>
    <xf numFmtId="0" fontId="49" fillId="0" borderId="0">
      <alignment vertical="center"/>
    </xf>
  </cellStyleXfs>
  <cellXfs count="174">
    <xf numFmtId="0" fontId="0" fillId="0" borderId="0" xfId="0">
      <alignment vertical="center"/>
    </xf>
    <xf numFmtId="0" fontId="1" fillId="0"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4" fillId="0" borderId="1" xfId="0" applyFont="1" applyFill="1" applyBorder="1" applyAlignment="1" applyProtection="1">
      <alignment horizontal="center" vertical="center"/>
    </xf>
    <xf numFmtId="49" fontId="4" fillId="0" borderId="1" xfId="0" applyNumberFormat="1" applyFont="1" applyFill="1" applyBorder="1" applyAlignment="1" applyProtection="1">
      <alignment horizontal="center" vertical="center"/>
    </xf>
    <xf numFmtId="0" fontId="4" fillId="0" borderId="1" xfId="0" applyFont="1" applyFill="1" applyBorder="1" applyAlignment="1" applyProtection="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xf numFmtId="0" fontId="5" fillId="0" borderId="0" xfId="0" applyFont="1" applyFill="1" applyBorder="1" applyAlignment="1" applyProtection="1">
      <alignment vertical="center"/>
      <protection locked="0"/>
    </xf>
    <xf numFmtId="0" fontId="6" fillId="0" borderId="0" xfId="0" applyFont="1" applyFill="1" applyBorder="1" applyAlignment="1">
      <alignment horizontal="left" vertical="center"/>
    </xf>
    <xf numFmtId="0" fontId="6" fillId="0" borderId="0" xfId="0" applyFont="1" applyFill="1" applyBorder="1" applyAlignment="1">
      <alignment vertical="top"/>
    </xf>
    <xf numFmtId="0" fontId="7" fillId="0" borderId="0" xfId="0" applyFont="1" applyFill="1" applyBorder="1" applyAlignment="1" applyProtection="1">
      <alignment horizontal="center" vertical="center"/>
      <protection locked="0"/>
    </xf>
    <xf numFmtId="0" fontId="8" fillId="0" borderId="2" xfId="0" applyFont="1" applyFill="1" applyBorder="1" applyAlignment="1" applyProtection="1">
      <alignment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9" fillId="0" borderId="0" xfId="0" applyFont="1" applyFill="1" applyBorder="1" applyAlignment="1">
      <alignment horizontal="left" vertical="center"/>
    </xf>
    <xf numFmtId="0" fontId="10" fillId="0" borderId="5" xfId="0" applyFont="1" applyFill="1" applyBorder="1" applyAlignment="1" applyProtection="1">
      <alignment horizontal="center" vertical="center" wrapText="1"/>
      <protection locked="0"/>
    </xf>
    <xf numFmtId="0" fontId="10" fillId="0" borderId="6" xfId="0" applyFont="1" applyFill="1" applyBorder="1" applyAlignment="1" applyProtection="1">
      <alignment horizontal="left" vertical="center" wrapText="1"/>
      <protection locked="0"/>
    </xf>
    <xf numFmtId="0" fontId="11" fillId="0" borderId="7" xfId="0" applyFont="1" applyFill="1" applyBorder="1" applyAlignment="1" applyProtection="1">
      <alignment horizontal="center" vertical="center" shrinkToFit="1"/>
      <protection locked="0"/>
    </xf>
    <xf numFmtId="4" fontId="11" fillId="0" borderId="7" xfId="0" applyNumberFormat="1" applyFont="1" applyFill="1" applyBorder="1" applyAlignment="1" applyProtection="1">
      <alignment vertical="center" shrinkToFit="1"/>
      <protection locked="0"/>
    </xf>
    <xf numFmtId="0" fontId="10" fillId="0" borderId="6" xfId="0" applyFont="1" applyFill="1" applyBorder="1" applyAlignment="1" applyProtection="1">
      <alignment horizontal="left" vertical="center" wrapText="1" indent="2"/>
      <protection locked="0"/>
    </xf>
    <xf numFmtId="0" fontId="10" fillId="0" borderId="6" xfId="0" applyFont="1" applyFill="1" applyBorder="1" applyAlignment="1" applyProtection="1">
      <alignment horizontal="left" vertical="center" wrapText="1" indent="4"/>
      <protection locked="0"/>
    </xf>
    <xf numFmtId="4" fontId="11" fillId="2" borderId="7" xfId="0" applyNumberFormat="1" applyFont="1" applyFill="1" applyBorder="1" applyAlignment="1" applyProtection="1">
      <alignment vertical="center" shrinkToFit="1"/>
      <protection locked="0"/>
    </xf>
    <xf numFmtId="0" fontId="10" fillId="0" borderId="8" xfId="0" applyFont="1" applyFill="1" applyBorder="1" applyAlignment="1" applyProtection="1">
      <alignment horizontal="center" vertical="center" wrapText="1"/>
      <protection locked="0"/>
    </xf>
    <xf numFmtId="0" fontId="10" fillId="0" borderId="9" xfId="0" applyFont="1" applyFill="1" applyBorder="1" applyAlignment="1" applyProtection="1">
      <alignment horizontal="left" vertical="center" wrapText="1"/>
      <protection locked="0"/>
    </xf>
    <xf numFmtId="4" fontId="11" fillId="0" borderId="10" xfId="0" applyNumberFormat="1" applyFont="1" applyFill="1" applyBorder="1" applyAlignment="1" applyProtection="1">
      <alignment vertical="center" shrinkToFit="1"/>
      <protection locked="0"/>
    </xf>
    <xf numFmtId="0" fontId="12" fillId="0" borderId="0" xfId="0" applyFont="1" applyFill="1" applyBorder="1" applyAlignment="1" applyProtection="1">
      <alignment vertical="center" wrapText="1"/>
      <protection locked="0"/>
    </xf>
    <xf numFmtId="0" fontId="13" fillId="0" borderId="0" xfId="6" applyNumberFormat="1" applyFont="1" applyFill="1" applyBorder="1" applyAlignment="1" applyProtection="1">
      <alignment vertical="center" wrapText="1"/>
      <protection locked="0"/>
    </xf>
    <xf numFmtId="0" fontId="8" fillId="0" borderId="0" xfId="0" applyFont="1" applyFill="1" applyBorder="1" applyAlignment="1" applyProtection="1">
      <alignment vertical="center"/>
      <protection locked="0"/>
    </xf>
    <xf numFmtId="0" fontId="10" fillId="0" borderId="0" xfId="0" applyFont="1" applyFill="1" applyBorder="1" applyAlignment="1">
      <alignment vertical="center" wrapText="1"/>
    </xf>
    <xf numFmtId="0" fontId="4" fillId="0" borderId="0" xfId="0" applyFont="1" applyFill="1" applyBorder="1" applyAlignment="1">
      <alignment vertical="justify" wrapText="1"/>
    </xf>
    <xf numFmtId="0" fontId="4" fillId="0" borderId="0" xfId="0" applyFont="1" applyFill="1" applyBorder="1" applyAlignment="1">
      <alignment vertical="center"/>
    </xf>
    <xf numFmtId="0" fontId="14" fillId="0" borderId="0" xfId="49" applyFont="1" applyAlignment="1">
      <alignment horizontal="left" vertical="center"/>
    </xf>
    <xf numFmtId="0" fontId="15" fillId="0" borderId="0" xfId="49" applyFont="1" applyAlignment="1">
      <alignment horizontal="left" vertical="center"/>
    </xf>
    <xf numFmtId="0" fontId="16" fillId="0" borderId="0" xfId="49" applyFont="1">
      <alignment vertical="center"/>
    </xf>
    <xf numFmtId="0" fontId="17" fillId="0" borderId="0" xfId="49" applyFont="1" applyAlignment="1">
      <alignment horizontal="center" vertical="center" wrapText="1"/>
    </xf>
    <xf numFmtId="0" fontId="18" fillId="0" borderId="0" xfId="49" applyFont="1" applyBorder="1" applyAlignment="1">
      <alignment vertical="center"/>
    </xf>
    <xf numFmtId="0" fontId="19" fillId="0" borderId="0" xfId="49" applyFont="1" applyBorder="1" applyAlignment="1">
      <alignment horizontal="center" vertical="center"/>
    </xf>
    <xf numFmtId="0" fontId="18" fillId="0" borderId="0" xfId="49" applyFont="1" applyBorder="1" applyAlignment="1">
      <alignment horizontal="right" vertical="center"/>
    </xf>
    <xf numFmtId="0" fontId="18" fillId="0" borderId="0" xfId="0" applyFont="1" applyFill="1" applyBorder="1" applyAlignment="1">
      <alignment vertical="center"/>
    </xf>
    <xf numFmtId="0" fontId="18" fillId="0" borderId="0" xfId="49" applyFont="1" applyBorder="1" applyAlignment="1">
      <alignment horizontal="center" vertical="center"/>
    </xf>
    <xf numFmtId="0" fontId="16" fillId="0" borderId="0" xfId="49" applyFont="1" applyBorder="1" applyAlignment="1">
      <alignment horizontal="center" vertical="center" wrapText="1"/>
    </xf>
    <xf numFmtId="0" fontId="16" fillId="0" borderId="11" xfId="49" applyFont="1" applyBorder="1" applyAlignment="1">
      <alignment horizontal="center" vertical="center" wrapText="1"/>
    </xf>
    <xf numFmtId="0" fontId="16" fillId="0" borderId="12" xfId="49" applyFont="1" applyBorder="1" applyAlignment="1">
      <alignment horizontal="center" vertical="center" wrapText="1"/>
    </xf>
    <xf numFmtId="49" fontId="16" fillId="0" borderId="12" xfId="49" applyNumberFormat="1" applyFont="1" applyBorder="1" applyAlignment="1">
      <alignment horizontal="center" vertical="center" wrapText="1"/>
    </xf>
    <xf numFmtId="49" fontId="16" fillId="0" borderId="12" xfId="49" applyNumberFormat="1" applyFont="1" applyFill="1" applyBorder="1" applyAlignment="1">
      <alignment horizontal="center" vertical="center" wrapText="1"/>
    </xf>
    <xf numFmtId="0" fontId="16" fillId="0" borderId="13" xfId="49" applyFont="1" applyBorder="1" applyAlignment="1">
      <alignment horizontal="center" vertical="center" wrapText="1"/>
    </xf>
    <xf numFmtId="0" fontId="16" fillId="0" borderId="14" xfId="49" applyFont="1" applyBorder="1" applyAlignment="1">
      <alignment horizontal="center" vertical="center" wrapText="1"/>
    </xf>
    <xf numFmtId="0" fontId="16" fillId="0" borderId="15" xfId="49" applyFont="1" applyBorder="1" applyAlignment="1">
      <alignment horizontal="center" vertical="center" wrapText="1"/>
    </xf>
    <xf numFmtId="0" fontId="16" fillId="0" borderId="1" xfId="49" applyFont="1" applyBorder="1" applyAlignment="1">
      <alignment horizontal="center" vertical="center" wrapText="1"/>
    </xf>
    <xf numFmtId="49" fontId="16" fillId="0" borderId="1" xfId="49" applyNumberFormat="1" applyFont="1" applyBorder="1" applyAlignment="1">
      <alignment horizontal="center" vertical="center" wrapText="1"/>
    </xf>
    <xf numFmtId="49" fontId="16" fillId="0" borderId="1" xfId="49" applyNumberFormat="1" applyFont="1" applyFill="1" applyBorder="1" applyAlignment="1">
      <alignment horizontal="center" vertical="center" wrapText="1"/>
    </xf>
    <xf numFmtId="0" fontId="16" fillId="0" borderId="16" xfId="49" applyFont="1" applyBorder="1" applyAlignment="1">
      <alignment horizontal="center" vertical="center" wrapText="1"/>
    </xf>
    <xf numFmtId="0" fontId="16" fillId="0" borderId="17" xfId="49" applyFont="1" applyBorder="1" applyAlignment="1">
      <alignment horizontal="center" vertical="center" wrapText="1"/>
    </xf>
    <xf numFmtId="0" fontId="16" fillId="0" borderId="1" xfId="49" applyFont="1" applyFill="1" applyBorder="1" applyAlignment="1">
      <alignment horizontal="center" vertical="center" wrapText="1"/>
    </xf>
    <xf numFmtId="0" fontId="16" fillId="0" borderId="17" xfId="49" applyFont="1" applyBorder="1" applyAlignment="1">
      <alignment horizontal="center" vertical="center"/>
    </xf>
    <xf numFmtId="0" fontId="16" fillId="0" borderId="15" xfId="49" applyFont="1" applyBorder="1">
      <alignment vertical="center"/>
    </xf>
    <xf numFmtId="0" fontId="16" fillId="0" borderId="1" xfId="49" applyFont="1" applyBorder="1" applyAlignment="1">
      <alignment vertical="center"/>
    </xf>
    <xf numFmtId="0" fontId="16" fillId="0" borderId="1" xfId="49" applyNumberFormat="1" applyFont="1" applyBorder="1" applyAlignment="1">
      <alignment vertical="center" wrapText="1"/>
    </xf>
    <xf numFmtId="43" fontId="16" fillId="0" borderId="1" xfId="49" applyNumberFormat="1" applyFont="1" applyBorder="1" applyAlignment="1">
      <alignment vertical="center" wrapText="1"/>
    </xf>
    <xf numFmtId="176" fontId="16" fillId="0" borderId="1" xfId="49" applyNumberFormat="1" applyFont="1" applyBorder="1" applyAlignment="1">
      <alignment vertical="center" wrapText="1"/>
    </xf>
    <xf numFmtId="0" fontId="16" fillId="0" borderId="17" xfId="49" applyFont="1" applyBorder="1" applyAlignment="1">
      <alignment vertical="center"/>
    </xf>
    <xf numFmtId="0" fontId="16" fillId="0" borderId="1" xfId="49" applyFont="1" applyBorder="1">
      <alignment vertical="center"/>
    </xf>
    <xf numFmtId="43" fontId="16" fillId="0" borderId="1" xfId="49" applyNumberFormat="1" applyFont="1" applyBorder="1">
      <alignment vertical="center"/>
    </xf>
    <xf numFmtId="0" fontId="16" fillId="0" borderId="17" xfId="49" applyFont="1" applyBorder="1">
      <alignment vertical="center"/>
    </xf>
    <xf numFmtId="0" fontId="16" fillId="0" borderId="15" xfId="49" applyFont="1" applyBorder="1" applyAlignment="1">
      <alignment horizontal="center" vertical="center"/>
    </xf>
    <xf numFmtId="0" fontId="16" fillId="0" borderId="1" xfId="49" applyFont="1" applyBorder="1" applyAlignment="1">
      <alignment horizontal="center" vertical="center"/>
    </xf>
    <xf numFmtId="0" fontId="16" fillId="0" borderId="15" xfId="49" applyFont="1" applyBorder="1" applyAlignment="1">
      <alignment horizontal="left" vertical="center"/>
    </xf>
    <xf numFmtId="0" fontId="16" fillId="0" borderId="1" xfId="49" applyFont="1" applyBorder="1" applyAlignment="1">
      <alignment horizontal="left" vertical="center"/>
    </xf>
    <xf numFmtId="0" fontId="16" fillId="0" borderId="15"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20" fillId="0" borderId="1" xfId="49" applyNumberFormat="1" applyFont="1" applyBorder="1" applyAlignment="1">
      <alignment vertical="center" wrapText="1"/>
    </xf>
    <xf numFmtId="0" fontId="16" fillId="0" borderId="18" xfId="49" applyFont="1" applyFill="1" applyBorder="1" applyAlignment="1">
      <alignment horizontal="left" vertical="center"/>
    </xf>
    <xf numFmtId="0" fontId="16" fillId="0" borderId="19" xfId="49" applyFont="1" applyFill="1" applyBorder="1" applyAlignment="1">
      <alignment horizontal="left" vertical="center"/>
    </xf>
    <xf numFmtId="0" fontId="16" fillId="0" borderId="20" xfId="49" applyFont="1" applyFill="1" applyBorder="1" applyAlignment="1">
      <alignment horizontal="left" vertical="center"/>
    </xf>
    <xf numFmtId="43" fontId="16" fillId="0" borderId="19" xfId="49" applyNumberFormat="1" applyFont="1" applyFill="1" applyBorder="1" applyAlignment="1">
      <alignment vertical="center" wrapText="1"/>
    </xf>
    <xf numFmtId="0" fontId="16" fillId="0" borderId="19" xfId="49" applyFont="1" applyFill="1" applyBorder="1" applyAlignment="1">
      <alignment vertical="center" wrapText="1"/>
    </xf>
    <xf numFmtId="0" fontId="16" fillId="0" borderId="21" xfId="49" applyFont="1" applyFill="1" applyBorder="1" applyAlignment="1">
      <alignment vertical="center" wrapText="1"/>
    </xf>
    <xf numFmtId="0" fontId="16" fillId="0" borderId="0" xfId="49" applyFont="1" applyBorder="1" applyAlignment="1">
      <alignment vertical="center"/>
    </xf>
    <xf numFmtId="0" fontId="16" fillId="0" borderId="0" xfId="49" applyFont="1" applyBorder="1" applyAlignment="1">
      <alignment vertical="center" wrapText="1"/>
    </xf>
    <xf numFmtId="0" fontId="16" fillId="0" borderId="22" xfId="49" applyFont="1" applyBorder="1" applyAlignment="1">
      <alignment horizontal="center" vertical="center" wrapText="1"/>
    </xf>
    <xf numFmtId="0" fontId="16" fillId="0" borderId="0" xfId="49" applyFont="1" applyAlignment="1">
      <alignment vertical="center" wrapText="1"/>
    </xf>
    <xf numFmtId="0" fontId="21" fillId="0" borderId="0" xfId="0" applyFont="1" applyFill="1" applyBorder="1" applyAlignment="1">
      <alignment horizontal="left" vertical="justify" wrapText="1"/>
    </xf>
    <xf numFmtId="0" fontId="22" fillId="0" borderId="0" xfId="0" applyFont="1" applyFill="1" applyBorder="1" applyAlignment="1">
      <alignment horizontal="left" vertical="justify" wrapText="1"/>
    </xf>
    <xf numFmtId="0" fontId="23" fillId="0" borderId="0" xfId="0" applyFont="1" applyFill="1" applyBorder="1" applyAlignment="1">
      <alignment horizontal="left" vertical="justify" wrapText="1"/>
    </xf>
    <xf numFmtId="0" fontId="24" fillId="0" borderId="0" xfId="0" applyFont="1" applyFill="1" applyBorder="1" applyAlignment="1">
      <alignment horizontal="left" vertical="justify" wrapText="1"/>
    </xf>
    <xf numFmtId="0" fontId="16" fillId="0" borderId="0" xfId="0" applyFont="1" applyFill="1" applyBorder="1" applyAlignment="1">
      <alignment vertical="center"/>
    </xf>
    <xf numFmtId="0" fontId="4" fillId="0" borderId="0" xfId="0" applyFont="1" applyFill="1" applyBorder="1" applyAlignment="1" applyProtection="1">
      <alignment vertical="distributed"/>
      <protection locked="0"/>
    </xf>
    <xf numFmtId="0" fontId="16" fillId="3" borderId="0" xfId="0" applyFont="1" applyFill="1" applyBorder="1" applyAlignment="1" applyProtection="1">
      <alignment vertical="distributed"/>
      <protection locked="0"/>
    </xf>
    <xf numFmtId="0" fontId="16" fillId="0" borderId="0" xfId="0" applyFont="1" applyFill="1" applyBorder="1" applyAlignment="1" applyProtection="1">
      <alignment vertical="distributed"/>
      <protection locked="0"/>
    </xf>
    <xf numFmtId="0" fontId="16" fillId="3" borderId="0" xfId="0" applyFont="1" applyFill="1" applyBorder="1" applyAlignment="1" applyProtection="1">
      <alignment horizontal="left" vertical="distributed"/>
      <protection locked="0"/>
    </xf>
    <xf numFmtId="0" fontId="16" fillId="0" borderId="0" xfId="0" applyFont="1" applyFill="1" applyBorder="1" applyAlignment="1" applyProtection="1">
      <alignment horizontal="left" vertical="distributed"/>
      <protection locked="0"/>
    </xf>
    <xf numFmtId="0" fontId="14" fillId="0" borderId="0" xfId="0" applyFont="1" applyFill="1" applyBorder="1" applyAlignment="1">
      <alignment vertical="center"/>
    </xf>
    <xf numFmtId="0" fontId="15" fillId="0" borderId="0" xfId="0" applyFont="1" applyFill="1" applyBorder="1" applyAlignment="1">
      <alignment vertical="center"/>
    </xf>
    <xf numFmtId="0" fontId="17" fillId="0" borderId="0" xfId="0" applyFont="1" applyFill="1" applyBorder="1" applyAlignment="1">
      <alignment horizontal="center" vertical="center"/>
    </xf>
    <xf numFmtId="0" fontId="18" fillId="0" borderId="0" xfId="0" applyFont="1" applyFill="1" applyBorder="1" applyAlignment="1">
      <alignment horizontal="center" vertical="center"/>
    </xf>
    <xf numFmtId="0" fontId="18" fillId="0" borderId="23" xfId="0" applyFont="1" applyFill="1" applyBorder="1" applyAlignment="1">
      <alignment horizontal="center" vertical="center"/>
    </xf>
    <xf numFmtId="0" fontId="18" fillId="0" borderId="23" xfId="0" applyFont="1" applyFill="1" applyBorder="1" applyAlignment="1">
      <alignment vertical="center" wrapText="1"/>
    </xf>
    <xf numFmtId="0" fontId="18" fillId="0" borderId="0" xfId="0" applyFont="1" applyFill="1" applyBorder="1" applyAlignment="1">
      <alignment horizontal="right" vertical="center" wrapText="1"/>
    </xf>
    <xf numFmtId="0" fontId="18" fillId="0" borderId="23"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6" fillId="0" borderId="14" xfId="0" applyFont="1" applyFill="1" applyBorder="1" applyAlignment="1">
      <alignment horizontal="center" vertical="center" wrapText="1"/>
    </xf>
    <xf numFmtId="0" fontId="16" fillId="0" borderId="15"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24"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16" fillId="0" borderId="25" xfId="0" applyFont="1" applyFill="1" applyBorder="1" applyAlignment="1">
      <alignment vertical="center" wrapText="1"/>
    </xf>
    <xf numFmtId="43" fontId="16" fillId="0" borderId="1" xfId="0" applyNumberFormat="1" applyFont="1" applyFill="1" applyBorder="1" applyAlignment="1">
      <alignment horizontal="center" vertical="center" wrapText="1"/>
    </xf>
    <xf numFmtId="0" fontId="16" fillId="0" borderId="15" xfId="0" applyFont="1" applyFill="1" applyBorder="1" applyAlignment="1">
      <alignment vertical="center" wrapText="1"/>
    </xf>
    <xf numFmtId="0" fontId="16" fillId="0" borderId="1" xfId="0" applyFont="1" applyFill="1" applyBorder="1" applyAlignment="1">
      <alignment vertical="center" wrapText="1"/>
    </xf>
    <xf numFmtId="43" fontId="16" fillId="0" borderId="1" xfId="0" applyNumberFormat="1" applyFont="1" applyFill="1" applyBorder="1" applyAlignment="1">
      <alignment vertical="center" wrapText="1"/>
    </xf>
    <xf numFmtId="0" fontId="16" fillId="0" borderId="17" xfId="0" applyFont="1" applyFill="1" applyBorder="1" applyAlignment="1">
      <alignment vertical="center" wrapText="1"/>
    </xf>
    <xf numFmtId="0" fontId="16" fillId="0" borderId="18" xfId="0" applyFont="1" applyFill="1" applyBorder="1" applyAlignment="1">
      <alignment horizontal="center" vertical="center"/>
    </xf>
    <xf numFmtId="0" fontId="16" fillId="0" borderId="19" xfId="0" applyFont="1" applyFill="1" applyBorder="1" applyAlignment="1">
      <alignment horizontal="center" vertical="center"/>
    </xf>
    <xf numFmtId="43" fontId="16" fillId="0" borderId="19" xfId="0" applyNumberFormat="1" applyFont="1" applyFill="1" applyBorder="1" applyAlignment="1">
      <alignment vertical="center" wrapText="1"/>
    </xf>
    <xf numFmtId="0" fontId="16" fillId="0" borderId="21" xfId="0" applyFont="1" applyFill="1" applyBorder="1" applyAlignment="1">
      <alignment vertical="center" wrapText="1"/>
    </xf>
    <xf numFmtId="0" fontId="21" fillId="0" borderId="0" xfId="0" applyFont="1" applyFill="1" applyBorder="1" applyAlignment="1" applyProtection="1">
      <alignment horizontal="left" vertical="distributed" wrapText="1"/>
      <protection locked="0"/>
    </xf>
    <xf numFmtId="0" fontId="21" fillId="0" borderId="0" xfId="0" applyFont="1" applyFill="1" applyBorder="1" applyAlignment="1" applyProtection="1">
      <alignment vertical="distributed" wrapText="1"/>
      <protection locked="0"/>
    </xf>
    <xf numFmtId="0" fontId="22" fillId="0" borderId="0" xfId="0" applyFont="1" applyFill="1" applyBorder="1" applyAlignment="1" applyProtection="1">
      <alignment horizontal="left" vertical="distributed" wrapText="1"/>
      <protection locked="0"/>
    </xf>
    <xf numFmtId="0" fontId="22" fillId="0" borderId="0" xfId="0" applyFont="1" applyFill="1" applyBorder="1" applyAlignment="1" applyProtection="1">
      <alignment vertical="distributed" wrapText="1"/>
      <protection locked="0"/>
    </xf>
    <xf numFmtId="0" fontId="23" fillId="3" borderId="0" xfId="0" applyFont="1" applyFill="1" applyBorder="1" applyAlignment="1" applyProtection="1">
      <alignment horizontal="left" vertical="distributed" wrapText="1"/>
      <protection locked="0"/>
    </xf>
    <xf numFmtId="0" fontId="16" fillId="0" borderId="0" xfId="0" applyFont="1" applyFill="1" applyBorder="1" applyAlignment="1" applyProtection="1">
      <alignment vertical="distributed" wrapText="1"/>
      <protection locked="0"/>
    </xf>
    <xf numFmtId="0" fontId="23" fillId="0" borderId="0" xfId="0" applyFont="1" applyFill="1" applyBorder="1" applyAlignment="1" applyProtection="1">
      <alignment horizontal="left" vertical="distributed" wrapText="1"/>
      <protection locked="0"/>
    </xf>
    <xf numFmtId="0" fontId="16" fillId="0" borderId="0" xfId="0" applyFont="1" applyFill="1" applyBorder="1" applyAlignment="1">
      <alignment horizontal="left" vertical="center"/>
    </xf>
    <xf numFmtId="0" fontId="0" fillId="0" borderId="0" xfId="0" applyAlignment="1">
      <alignment horizontal="center" vertical="center"/>
    </xf>
    <xf numFmtId="43" fontId="0" fillId="0" borderId="1" xfId="0" applyNumberFormat="1" applyBorder="1" applyAlignment="1">
      <alignment horizontal="center" vertical="center"/>
    </xf>
    <xf numFmtId="177" fontId="0" fillId="0" borderId="1" xfId="0" applyNumberFormat="1" applyBorder="1">
      <alignment vertical="center"/>
    </xf>
    <xf numFmtId="177" fontId="0" fillId="0" borderId="1" xfId="0" applyNumberFormat="1" applyBorder="1" applyAlignment="1">
      <alignment horizontal="center" vertical="center"/>
    </xf>
    <xf numFmtId="0" fontId="0" fillId="0" borderId="0" xfId="0" applyAlignment="1">
      <alignment horizontal="left" vertical="center" wrapText="1"/>
    </xf>
    <xf numFmtId="0" fontId="0" fillId="0" borderId="1" xfId="0" applyFill="1" applyBorder="1" applyAlignment="1">
      <alignment horizontal="center" vertical="center"/>
    </xf>
    <xf numFmtId="0" fontId="0" fillId="0" borderId="0" xfId="0" applyAlignment="1">
      <alignment horizontal="left" vertical="center"/>
    </xf>
    <xf numFmtId="0" fontId="25" fillId="0" borderId="1" xfId="0" applyFont="1" applyFill="1" applyBorder="1" applyAlignment="1" applyProtection="1">
      <alignment horizontal="center" vertical="center"/>
    </xf>
    <xf numFmtId="0" fontId="26" fillId="0" borderId="0" xfId="6" applyFont="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2" borderId="1" xfId="0" applyFont="1" applyFill="1" applyBorder="1" applyAlignment="1">
      <alignment horizontal="center" vertical="center"/>
    </xf>
    <xf numFmtId="49" fontId="2" fillId="4"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4" fillId="0" borderId="1" xfId="0" applyFont="1" applyFill="1" applyBorder="1" applyAlignment="1">
      <alignment vertical="center"/>
    </xf>
    <xf numFmtId="49" fontId="4" fillId="0" borderId="1" xfId="0" applyNumberFormat="1" applyFont="1" applyFill="1" applyBorder="1" applyAlignment="1">
      <alignment vertical="center"/>
    </xf>
    <xf numFmtId="178" fontId="4" fillId="0" borderId="1" xfId="0" applyNumberFormat="1" applyFont="1" applyFill="1" applyBorder="1" applyAlignment="1">
      <alignment vertical="center"/>
    </xf>
    <xf numFmtId="179" fontId="4" fillId="0" borderId="1" xfId="0" applyNumberFormat="1" applyFont="1" applyFill="1" applyBorder="1" applyAlignment="1">
      <alignment vertical="center"/>
    </xf>
    <xf numFmtId="0" fontId="4" fillId="0" borderId="26" xfId="0" applyFont="1" applyFill="1" applyBorder="1" applyAlignment="1">
      <alignment horizontal="center" vertical="center"/>
    </xf>
    <xf numFmtId="0" fontId="0" fillId="0" borderId="26" xfId="0" applyBorder="1" applyAlignment="1">
      <alignment horizontal="center" vertical="center"/>
    </xf>
    <xf numFmtId="0" fontId="0" fillId="0" borderId="27" xfId="0" applyBorder="1">
      <alignment vertical="center"/>
    </xf>
    <xf numFmtId="0" fontId="27" fillId="0" borderId="1" xfId="0" applyFont="1" applyFill="1" applyBorder="1" applyAlignment="1">
      <alignment vertical="center"/>
    </xf>
    <xf numFmtId="0" fontId="4" fillId="0" borderId="27" xfId="0" applyFont="1" applyFill="1" applyBorder="1" applyAlignment="1">
      <alignment horizontal="center" vertical="center"/>
    </xf>
    <xf numFmtId="0" fontId="4" fillId="0" borderId="27" xfId="0" applyFont="1" applyFill="1" applyBorder="1" applyAlignment="1">
      <alignment vertical="center"/>
    </xf>
    <xf numFmtId="0" fontId="0" fillId="0" borderId="0" xfId="0" applyFont="1">
      <alignment vertical="center"/>
    </xf>
    <xf numFmtId="0" fontId="28" fillId="0" borderId="0" xfId="0" applyFont="1">
      <alignment vertical="center"/>
    </xf>
    <xf numFmtId="0" fontId="0" fillId="2" borderId="1" xfId="0" applyFill="1" applyBorder="1" applyAlignment="1">
      <alignment horizontal="center" vertical="center"/>
    </xf>
    <xf numFmtId="0" fontId="0" fillId="5" borderId="0" xfId="0" applyFill="1">
      <alignment vertical="center"/>
    </xf>
    <xf numFmtId="0" fontId="29" fillId="0" borderId="0" xfId="0" applyFont="1">
      <alignment vertical="center"/>
    </xf>
    <xf numFmtId="0" fontId="9" fillId="0" borderId="0" xfId="0" applyFont="1">
      <alignment vertical="center"/>
    </xf>
    <xf numFmtId="49" fontId="0" fillId="0" borderId="1" xfId="0" applyNumberFormat="1" applyBorder="1" applyAlignment="1">
      <alignment horizontal="left" vertical="center"/>
    </xf>
    <xf numFmtId="0" fontId="30" fillId="0" borderId="1" xfId="0" applyFont="1" applyBorder="1" applyAlignment="1">
      <alignment vertical="center" wrapText="1"/>
    </xf>
    <xf numFmtId="0" fontId="0" fillId="5" borderId="1" xfId="0" applyFill="1" applyBorder="1">
      <alignment vertical="center"/>
    </xf>
    <xf numFmtId="0" fontId="0" fillId="5" borderId="1" xfId="0" applyFont="1" applyFill="1" applyBorder="1">
      <alignment vertical="center"/>
    </xf>
    <xf numFmtId="0" fontId="0" fillId="0" borderId="1" xfId="0" applyFont="1" applyFill="1" applyBorder="1">
      <alignment vertical="center"/>
    </xf>
    <xf numFmtId="0" fontId="31" fillId="5" borderId="1" xfId="6" applyFill="1" applyBorder="1">
      <alignment vertical="center"/>
    </xf>
    <xf numFmtId="0" fontId="0" fillId="0" borderId="1" xfId="0" applyFill="1" applyBorder="1" applyAlignment="1">
      <alignment horizontal="left" vertical="center" indent="2"/>
    </xf>
    <xf numFmtId="0" fontId="0" fillId="0" borderId="1" xfId="0" applyFill="1" applyBorder="1">
      <alignment vertical="center"/>
    </xf>
    <xf numFmtId="0" fontId="31" fillId="5" borderId="1" xfId="6" applyFill="1" applyBorder="1" applyAlignment="1">
      <alignment horizontal="left" vertical="center" indent="2"/>
    </xf>
    <xf numFmtId="0" fontId="29" fillId="0" borderId="1"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57"/>
  <sheetViews>
    <sheetView workbookViewId="0">
      <selection activeCell="C11" sqref="C11"/>
    </sheetView>
  </sheetViews>
  <sheetFormatPr defaultColWidth="9.02884615384615" defaultRowHeight="16.8" outlineLevelCol="3"/>
  <cols>
    <col min="1" max="1" width="12.8846153846154" customWidth="1"/>
    <col min="2" max="2" width="14.2788461538462" customWidth="1"/>
    <col min="3" max="3" width="31.1442307692308" customWidth="1"/>
    <col min="4" max="4" width="94.9230769230769" customWidth="1"/>
  </cols>
  <sheetData>
    <row r="3" ht="21" customHeight="1" spans="1:4">
      <c r="A3" s="8" t="s">
        <v>0</v>
      </c>
      <c r="B3" s="8" t="s">
        <v>1</v>
      </c>
      <c r="C3" s="8" t="s">
        <v>2</v>
      </c>
      <c r="D3" s="8" t="s">
        <v>3</v>
      </c>
    </row>
    <row r="4" ht="23" customHeight="1" spans="1:4">
      <c r="A4" s="9" t="s">
        <v>4</v>
      </c>
      <c r="B4" s="9"/>
      <c r="C4" s="9"/>
      <c r="D4" s="9"/>
    </row>
    <row r="5" ht="23" customHeight="1" spans="1:4">
      <c r="A5" s="9"/>
      <c r="B5" s="9" t="s">
        <v>5</v>
      </c>
      <c r="C5" s="9"/>
      <c r="D5" s="9"/>
    </row>
    <row r="6" ht="23" customHeight="1" spans="1:4">
      <c r="A6" s="9"/>
      <c r="B6" s="9"/>
      <c r="C6" s="166" t="s">
        <v>6</v>
      </c>
      <c r="D6" s="9" t="s">
        <v>7</v>
      </c>
    </row>
    <row r="7" ht="23" customHeight="1" spans="1:4">
      <c r="A7" s="9"/>
      <c r="B7" s="9"/>
      <c r="C7" s="166" t="s">
        <v>8</v>
      </c>
      <c r="D7" s="9" t="s">
        <v>9</v>
      </c>
    </row>
    <row r="8" ht="23" customHeight="1" spans="1:4">
      <c r="A8" s="9"/>
      <c r="B8" s="9"/>
      <c r="C8" s="167" t="s">
        <v>10</v>
      </c>
      <c r="D8" s="9" t="s">
        <v>11</v>
      </c>
    </row>
    <row r="9" ht="23" customHeight="1" spans="1:4">
      <c r="A9" s="9"/>
      <c r="B9" s="9"/>
      <c r="C9" s="166" t="s">
        <v>12</v>
      </c>
      <c r="D9" s="9" t="s">
        <v>13</v>
      </c>
    </row>
    <row r="10" ht="23" customHeight="1" spans="1:4">
      <c r="A10" s="9"/>
      <c r="B10" s="9"/>
      <c r="C10" s="168" t="s">
        <v>14</v>
      </c>
      <c r="D10" s="9" t="s">
        <v>15</v>
      </c>
    </row>
    <row r="11" ht="23" customHeight="1" spans="1:4">
      <c r="A11" s="9"/>
      <c r="B11" s="9" t="s">
        <v>16</v>
      </c>
      <c r="C11" s="9"/>
      <c r="D11" s="9"/>
    </row>
    <row r="12" ht="23" customHeight="1" spans="1:4">
      <c r="A12" s="9"/>
      <c r="B12" s="9"/>
      <c r="C12" s="9" t="s">
        <v>17</v>
      </c>
      <c r="D12" s="9" t="s">
        <v>18</v>
      </c>
    </row>
    <row r="13" ht="23" customHeight="1" spans="1:4">
      <c r="A13" s="9"/>
      <c r="B13" s="9"/>
      <c r="C13" s="166" t="s">
        <v>19</v>
      </c>
      <c r="D13" s="9" t="s">
        <v>20</v>
      </c>
    </row>
    <row r="14" ht="23" customHeight="1" spans="1:4">
      <c r="A14" s="9"/>
      <c r="B14" s="9"/>
      <c r="C14" s="166" t="s">
        <v>21</v>
      </c>
      <c r="D14" s="9"/>
    </row>
    <row r="15" ht="23" customHeight="1" spans="1:4">
      <c r="A15" s="9"/>
      <c r="B15" s="9"/>
      <c r="C15" s="166" t="s">
        <v>22</v>
      </c>
      <c r="D15" s="9"/>
    </row>
    <row r="16" ht="23" customHeight="1" spans="1:4">
      <c r="A16" s="9"/>
      <c r="B16" s="9"/>
      <c r="C16" s="166" t="s">
        <v>23</v>
      </c>
      <c r="D16" s="9" t="s">
        <v>24</v>
      </c>
    </row>
    <row r="17" ht="23" customHeight="1" spans="1:4">
      <c r="A17" s="9"/>
      <c r="B17" s="9"/>
      <c r="C17" s="166" t="s">
        <v>25</v>
      </c>
      <c r="D17" s="9"/>
    </row>
    <row r="18" ht="23" customHeight="1" spans="1:4">
      <c r="A18" s="9"/>
      <c r="B18" s="9"/>
      <c r="C18" s="9" t="s">
        <v>26</v>
      </c>
      <c r="D18" s="9" t="s">
        <v>27</v>
      </c>
    </row>
    <row r="19" ht="23" customHeight="1" spans="1:4">
      <c r="A19" s="9"/>
      <c r="B19" s="9"/>
      <c r="C19" s="9" t="s">
        <v>28</v>
      </c>
      <c r="D19" s="9" t="s">
        <v>27</v>
      </c>
    </row>
    <row r="20" ht="23" customHeight="1" spans="1:4">
      <c r="A20" s="9"/>
      <c r="B20" s="9"/>
      <c r="C20" s="9"/>
      <c r="D20" s="9"/>
    </row>
    <row r="21" ht="23" customHeight="1" spans="1:4">
      <c r="A21" s="9"/>
      <c r="B21" s="9" t="s">
        <v>29</v>
      </c>
      <c r="C21" s="9"/>
      <c r="D21" s="9"/>
    </row>
    <row r="22" ht="23" customHeight="1" spans="1:4">
      <c r="A22" s="9"/>
      <c r="B22" s="9"/>
      <c r="C22" s="169" t="s">
        <v>30</v>
      </c>
      <c r="D22" s="9"/>
    </row>
    <row r="23" ht="23" customHeight="1" spans="1:4">
      <c r="A23" s="9"/>
      <c r="B23" s="9"/>
      <c r="C23" s="9" t="s">
        <v>31</v>
      </c>
      <c r="D23" s="9" t="s">
        <v>32</v>
      </c>
    </row>
    <row r="24" ht="23" customHeight="1" spans="1:4">
      <c r="A24" s="9"/>
      <c r="B24" s="9"/>
      <c r="C24" s="9" t="s">
        <v>33</v>
      </c>
      <c r="D24" s="9" t="s">
        <v>34</v>
      </c>
    </row>
    <row r="25" ht="23" customHeight="1" spans="1:4">
      <c r="A25" s="9"/>
      <c r="B25" s="9"/>
      <c r="C25" s="170" t="s">
        <v>35</v>
      </c>
      <c r="D25" s="9"/>
    </row>
    <row r="26" ht="23" customHeight="1" spans="1:4">
      <c r="A26" s="9"/>
      <c r="B26" s="9"/>
      <c r="C26" s="170" t="s">
        <v>36</v>
      </c>
      <c r="D26" s="9"/>
    </row>
    <row r="27" ht="23" customHeight="1" spans="1:4">
      <c r="A27" s="9"/>
      <c r="B27" s="9"/>
      <c r="C27" s="170" t="s">
        <v>37</v>
      </c>
      <c r="D27" s="9"/>
    </row>
    <row r="28" ht="23" customHeight="1" spans="1:4">
      <c r="A28" s="9"/>
      <c r="B28" s="9"/>
      <c r="C28" s="170" t="s">
        <v>38</v>
      </c>
      <c r="D28" s="9"/>
    </row>
    <row r="29" ht="23" customHeight="1" spans="1:4">
      <c r="A29" s="9"/>
      <c r="B29" s="9"/>
      <c r="C29" s="170" t="s">
        <v>39</v>
      </c>
      <c r="D29" s="9"/>
    </row>
    <row r="30" ht="23" customHeight="1" spans="1:4">
      <c r="A30" s="9"/>
      <c r="B30" s="9"/>
      <c r="C30" s="9" t="s">
        <v>40</v>
      </c>
      <c r="D30" s="9" t="s">
        <v>41</v>
      </c>
    </row>
    <row r="31" ht="23" customHeight="1" spans="1:4">
      <c r="A31" s="9"/>
      <c r="B31" s="9"/>
      <c r="C31" s="171" t="s">
        <v>42</v>
      </c>
      <c r="D31" s="9"/>
    </row>
    <row r="32" ht="23" customHeight="1" spans="1:4">
      <c r="A32" s="9"/>
      <c r="B32" s="9"/>
      <c r="C32" s="170" t="s">
        <v>43</v>
      </c>
      <c r="D32" s="9" t="s">
        <v>44</v>
      </c>
    </row>
    <row r="33" ht="23" customHeight="1" spans="1:4">
      <c r="A33" s="9"/>
      <c r="B33" s="9"/>
      <c r="C33" s="170" t="s">
        <v>45</v>
      </c>
      <c r="D33" s="9"/>
    </row>
    <row r="34" ht="23" customHeight="1" spans="1:4">
      <c r="A34" s="9"/>
      <c r="B34" s="9"/>
      <c r="C34" s="170" t="s">
        <v>46</v>
      </c>
      <c r="D34" s="9"/>
    </row>
    <row r="35" ht="23" customHeight="1" spans="1:4">
      <c r="A35" s="9"/>
      <c r="B35" s="9"/>
      <c r="C35" s="172" t="s">
        <v>47</v>
      </c>
      <c r="D35" s="9"/>
    </row>
    <row r="36" ht="23" customHeight="1" spans="1:4">
      <c r="A36" s="9"/>
      <c r="B36" s="9"/>
      <c r="C36" s="171" t="s">
        <v>48</v>
      </c>
      <c r="D36" s="171" t="s">
        <v>49</v>
      </c>
    </row>
    <row r="37" ht="23" customHeight="1" spans="1:4">
      <c r="A37" s="9"/>
      <c r="B37" s="9"/>
      <c r="C37" s="169" t="s">
        <v>50</v>
      </c>
      <c r="D37" s="9"/>
    </row>
    <row r="38" ht="23" customHeight="1" spans="1:4">
      <c r="A38" s="9"/>
      <c r="B38" s="9"/>
      <c r="C38" s="173" t="s">
        <v>51</v>
      </c>
      <c r="D38" s="9" t="s">
        <v>27</v>
      </c>
    </row>
    <row r="39" ht="23" customHeight="1" spans="1:4">
      <c r="A39" s="9"/>
      <c r="B39" s="9"/>
      <c r="C39" s="173" t="s">
        <v>52</v>
      </c>
      <c r="D39" s="9" t="s">
        <v>27</v>
      </c>
    </row>
    <row r="40" ht="23" customHeight="1" spans="1:4">
      <c r="A40" s="9"/>
      <c r="B40" s="9"/>
      <c r="C40" s="169" t="s">
        <v>53</v>
      </c>
      <c r="D40" s="9" t="s">
        <v>54</v>
      </c>
    </row>
    <row r="41" ht="23" customHeight="1" spans="1:4">
      <c r="A41" s="9"/>
      <c r="B41" s="9"/>
      <c r="C41" s="9" t="s">
        <v>55</v>
      </c>
      <c r="D41" s="9" t="s">
        <v>27</v>
      </c>
    </row>
    <row r="42" ht="23" customHeight="1" spans="1:4">
      <c r="A42" s="9"/>
      <c r="B42" s="9"/>
      <c r="C42" s="169" t="s">
        <v>56</v>
      </c>
      <c r="D42" s="9" t="s">
        <v>57</v>
      </c>
    </row>
    <row r="43" ht="23" customHeight="1" spans="1:4">
      <c r="A43" s="9"/>
      <c r="B43" s="9"/>
      <c r="C43" s="169" t="s">
        <v>58</v>
      </c>
      <c r="D43" s="9" t="s">
        <v>59</v>
      </c>
    </row>
    <row r="44" ht="23" customHeight="1" spans="1:4">
      <c r="A44" s="9"/>
      <c r="B44" s="9"/>
      <c r="C44" s="9"/>
      <c r="D44" s="9"/>
    </row>
    <row r="45" ht="23" customHeight="1" spans="1:4">
      <c r="A45" s="9"/>
      <c r="B45" s="9"/>
      <c r="C45" s="9"/>
      <c r="D45" s="9"/>
    </row>
    <row r="46" ht="20" customHeight="1" spans="1:4">
      <c r="A46" s="9"/>
      <c r="B46" s="9" t="s">
        <v>60</v>
      </c>
      <c r="C46" s="9"/>
      <c r="D46" s="9" t="s">
        <v>27</v>
      </c>
    </row>
    <row r="47" ht="20" customHeight="1" spans="1:4">
      <c r="A47" s="9"/>
      <c r="B47" s="9"/>
      <c r="C47" s="9" t="s">
        <v>61</v>
      </c>
      <c r="D47" s="9"/>
    </row>
    <row r="48" ht="20" customHeight="1" spans="1:4">
      <c r="A48" s="9"/>
      <c r="B48" s="9"/>
      <c r="C48" s="9" t="s">
        <v>62</v>
      </c>
      <c r="D48" s="9"/>
    </row>
    <row r="49" ht="20" customHeight="1" spans="1:4">
      <c r="A49" s="9"/>
      <c r="B49" s="9" t="s">
        <v>63</v>
      </c>
      <c r="C49" s="9"/>
      <c r="D49" s="9" t="s">
        <v>27</v>
      </c>
    </row>
    <row r="50" ht="20" customHeight="1" spans="1:4">
      <c r="A50" s="9"/>
      <c r="B50" s="9"/>
      <c r="C50" s="9"/>
      <c r="D50" s="9"/>
    </row>
    <row r="51" ht="20" customHeight="1" spans="1:4">
      <c r="A51" s="9"/>
      <c r="B51" s="9" t="s">
        <v>64</v>
      </c>
      <c r="C51" s="9"/>
      <c r="D51" s="9" t="s">
        <v>27</v>
      </c>
    </row>
    <row r="52" ht="20" customHeight="1" spans="1:4">
      <c r="A52" s="9"/>
      <c r="B52" s="9" t="s">
        <v>65</v>
      </c>
      <c r="C52" s="9"/>
      <c r="D52" s="9" t="s">
        <v>27</v>
      </c>
    </row>
    <row r="53" ht="20" customHeight="1" spans="1:4">
      <c r="A53" s="9"/>
      <c r="B53" s="9"/>
      <c r="C53" s="9" t="s">
        <v>66</v>
      </c>
      <c r="D53" s="9"/>
    </row>
    <row r="54" ht="20" customHeight="1" spans="1:4">
      <c r="A54" s="9"/>
      <c r="B54" s="9"/>
      <c r="C54" s="9" t="s">
        <v>67</v>
      </c>
      <c r="D54" s="9"/>
    </row>
    <row r="55" ht="20" customHeight="1" spans="1:4">
      <c r="A55" s="9"/>
      <c r="B55" s="9"/>
      <c r="C55" s="9" t="s">
        <v>68</v>
      </c>
      <c r="D55" s="9"/>
    </row>
    <row r="56" ht="20" customHeight="1" spans="1:4">
      <c r="A56" s="9"/>
      <c r="B56" s="9"/>
      <c r="C56" s="9"/>
      <c r="D56" s="9"/>
    </row>
    <row r="57" ht="20" customHeight="1"/>
  </sheetData>
  <hyperlinks>
    <hyperlink ref="C40" location="'2021版研发支出辅助账'!A1" display="辅助账查询"/>
    <hyperlink ref="C42" location="'2021版研发支出辅助账汇总表'!A1" display="辅助账汇总表查询"/>
    <hyperlink ref="C43" location="研发费用加计扣除优惠明细表!A1" display="加计扣除明细表查询"/>
    <hyperlink ref="C37" location="其他费用限额计算!A1" display="其他费用限额计算"/>
    <hyperlink ref="C35" location="生成辅助账!A1" display="生成辅助账"/>
    <hyperlink ref="C22" location="账簿管理!A1" display="账簿管理"/>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3"/>
  <sheetViews>
    <sheetView topLeftCell="D1" workbookViewId="0">
      <selection activeCell="C15" sqref="C15"/>
    </sheetView>
  </sheetViews>
  <sheetFormatPr defaultColWidth="9.02884615384615" defaultRowHeight="16.8"/>
  <cols>
    <col min="1" max="1" width="17.1923076923077" customWidth="1"/>
    <col min="2" max="2" width="68.8365384615385" customWidth="1"/>
    <col min="3" max="3" width="27.0192307692308" customWidth="1"/>
    <col min="4" max="4" width="17.1923076923077" customWidth="1"/>
    <col min="5" max="5" width="6.45192307692308" style="127" customWidth="1"/>
    <col min="6" max="6" width="7.04807692307692" customWidth="1"/>
    <col min="8" max="8" width="15.5288461538462" customWidth="1"/>
  </cols>
  <sheetData>
    <row r="1" ht="24" customHeight="1" spans="1:9">
      <c r="B1" s="162" t="s">
        <v>69</v>
      </c>
      <c r="H1" s="163" t="s">
        <v>70</v>
      </c>
    </row>
    <row r="2" ht="24" customHeight="1" spans="1:9">
      <c r="A2" s="8" t="s">
        <v>71</v>
      </c>
      <c r="B2" s="8" t="s">
        <v>72</v>
      </c>
      <c r="C2" s="8" t="s">
        <v>73</v>
      </c>
      <c r="D2" s="7" t="s">
        <v>74</v>
      </c>
      <c r="E2" s="7"/>
      <c r="F2" s="7"/>
    </row>
    <row r="3" ht="21" customHeight="1" spans="1:9">
      <c r="A3" s="164" t="s">
        <v>75</v>
      </c>
      <c r="B3" s="9" t="s">
        <v>76</v>
      </c>
      <c r="C3" s="9"/>
      <c r="D3" s="8" t="s">
        <v>77</v>
      </c>
      <c r="E3" s="8"/>
      <c r="F3" s="9"/>
      <c r="H3" t="s">
        <v>75</v>
      </c>
      <c r="I3" t="s">
        <v>78</v>
      </c>
    </row>
    <row r="4" ht="19" customHeight="1" spans="1:9">
      <c r="A4" s="164" t="s">
        <v>79</v>
      </c>
      <c r="B4" s="9" t="s">
        <v>80</v>
      </c>
      <c r="C4" s="9"/>
      <c r="D4" s="8" t="s">
        <v>81</v>
      </c>
      <c r="E4" s="8"/>
      <c r="F4" s="9"/>
      <c r="H4" t="s">
        <v>82</v>
      </c>
      <c r="I4" t="s">
        <v>83</v>
      </c>
    </row>
    <row r="5" ht="19" customHeight="1" spans="1:9">
      <c r="A5" s="164" t="s">
        <v>84</v>
      </c>
      <c r="B5" s="9" t="s">
        <v>85</v>
      </c>
      <c r="C5" s="9"/>
      <c r="D5" s="8" t="s">
        <v>86</v>
      </c>
      <c r="E5" s="8"/>
      <c r="F5" s="9"/>
      <c r="H5" t="s">
        <v>87</v>
      </c>
      <c r="I5" t="s">
        <v>88</v>
      </c>
    </row>
    <row r="6" ht="19" customHeight="1" spans="1:9">
      <c r="A6" s="164" t="s">
        <v>89</v>
      </c>
      <c r="B6" s="9" t="s">
        <v>90</v>
      </c>
      <c r="C6" s="9"/>
      <c r="D6" s="8" t="s">
        <v>86</v>
      </c>
      <c r="E6" s="8"/>
      <c r="F6" s="9"/>
      <c r="H6" t="s">
        <v>91</v>
      </c>
      <c r="I6" t="s">
        <v>92</v>
      </c>
    </row>
    <row r="7" ht="19" customHeight="1" spans="1:9">
      <c r="A7" s="164" t="s">
        <v>93</v>
      </c>
      <c r="B7" s="9" t="s">
        <v>94</v>
      </c>
      <c r="C7" s="9"/>
      <c r="D7" s="8" t="s">
        <v>86</v>
      </c>
      <c r="E7" s="8"/>
      <c r="F7" s="9"/>
      <c r="H7" t="s">
        <v>95</v>
      </c>
      <c r="I7" t="s">
        <v>96</v>
      </c>
    </row>
    <row r="8" ht="19" customHeight="1" spans="1:9">
      <c r="A8" s="164" t="s">
        <v>97</v>
      </c>
      <c r="B8" s="9" t="s">
        <v>98</v>
      </c>
      <c r="C8" s="9"/>
      <c r="D8" s="8" t="s">
        <v>86</v>
      </c>
      <c r="E8" s="8"/>
      <c r="F8" s="9"/>
      <c r="H8" t="s">
        <v>99</v>
      </c>
      <c r="I8" t="s">
        <v>100</v>
      </c>
    </row>
    <row r="9" ht="19" customHeight="1" spans="1:9">
      <c r="A9" s="164" t="s">
        <v>101</v>
      </c>
      <c r="B9" s="9" t="s">
        <v>102</v>
      </c>
      <c r="C9" s="9"/>
      <c r="D9" s="8" t="s">
        <v>86</v>
      </c>
      <c r="E9" s="8"/>
      <c r="F9" s="9"/>
      <c r="H9" t="s">
        <v>103</v>
      </c>
      <c r="I9" t="s">
        <v>104</v>
      </c>
    </row>
    <row r="10" ht="19" customHeight="1" spans="1:9">
      <c r="A10" s="164" t="s">
        <v>105</v>
      </c>
      <c r="B10" s="9" t="s">
        <v>106</v>
      </c>
      <c r="C10" s="9"/>
      <c r="D10" s="8" t="s">
        <v>86</v>
      </c>
      <c r="E10" s="8"/>
      <c r="F10" s="9"/>
      <c r="H10" t="s">
        <v>107</v>
      </c>
      <c r="I10" t="s">
        <v>108</v>
      </c>
    </row>
    <row r="11" ht="19" customHeight="1" spans="1:9">
      <c r="A11" s="164" t="s">
        <v>109</v>
      </c>
      <c r="B11" s="9" t="s">
        <v>110</v>
      </c>
      <c r="C11" s="9"/>
      <c r="D11" s="8" t="s">
        <v>86</v>
      </c>
      <c r="E11" s="8"/>
      <c r="F11" s="9"/>
      <c r="H11" t="s">
        <v>111</v>
      </c>
      <c r="I11" t="s">
        <v>112</v>
      </c>
    </row>
    <row r="12" ht="19" customHeight="1" spans="1:9">
      <c r="A12" s="164" t="s">
        <v>113</v>
      </c>
      <c r="B12" s="9" t="s">
        <v>114</v>
      </c>
      <c r="C12" s="9"/>
      <c r="D12" s="8" t="s">
        <v>86</v>
      </c>
      <c r="E12" s="8"/>
      <c r="F12" s="9"/>
      <c r="H12" t="s">
        <v>115</v>
      </c>
      <c r="I12" t="s">
        <v>116</v>
      </c>
    </row>
    <row r="13" ht="19" customHeight="1" spans="1:9">
      <c r="A13" s="164" t="s">
        <v>117</v>
      </c>
      <c r="B13" s="9" t="s">
        <v>118</v>
      </c>
      <c r="C13" s="9"/>
      <c r="D13" s="8" t="s">
        <v>86</v>
      </c>
      <c r="E13" s="8"/>
      <c r="F13" s="9"/>
      <c r="H13" t="s">
        <v>119</v>
      </c>
      <c r="I13" t="s">
        <v>120</v>
      </c>
    </row>
    <row r="14" ht="19" customHeight="1" spans="1:9">
      <c r="A14" s="164" t="s">
        <v>121</v>
      </c>
      <c r="B14" s="9" t="s">
        <v>122</v>
      </c>
      <c r="C14" s="9"/>
      <c r="D14" s="8" t="s">
        <v>86</v>
      </c>
      <c r="E14" s="8"/>
      <c r="F14" s="9"/>
      <c r="H14" t="s">
        <v>123</v>
      </c>
      <c r="I14" t="s">
        <v>124</v>
      </c>
    </row>
    <row r="15" ht="19" customHeight="1" spans="1:9">
      <c r="A15" s="164" t="s">
        <v>125</v>
      </c>
      <c r="B15" s="9" t="s">
        <v>126</v>
      </c>
      <c r="C15" s="9"/>
      <c r="D15" s="8" t="s">
        <v>86</v>
      </c>
      <c r="E15" s="8"/>
      <c r="F15" s="9"/>
      <c r="H15" t="s">
        <v>127</v>
      </c>
      <c r="I15" t="s">
        <v>128</v>
      </c>
    </row>
    <row r="16" ht="19" customHeight="1" spans="1:9">
      <c r="A16" s="164" t="s">
        <v>129</v>
      </c>
      <c r="B16" s="165" t="s">
        <v>130</v>
      </c>
      <c r="C16" s="165"/>
      <c r="D16" s="8" t="s">
        <v>86</v>
      </c>
      <c r="E16" s="8"/>
      <c r="F16" s="9"/>
      <c r="H16" t="s">
        <v>131</v>
      </c>
      <c r="I16" t="s">
        <v>132</v>
      </c>
    </row>
    <row r="17" ht="19" customHeight="1" spans="1:9">
      <c r="A17" s="164" t="s">
        <v>133</v>
      </c>
      <c r="B17" s="165" t="s">
        <v>134</v>
      </c>
      <c r="C17" s="165"/>
      <c r="D17" s="8" t="s">
        <v>86</v>
      </c>
      <c r="E17" s="8"/>
      <c r="F17" s="9"/>
      <c r="H17" t="s">
        <v>135</v>
      </c>
      <c r="I17" t="s">
        <v>136</v>
      </c>
    </row>
    <row r="18" ht="19" customHeight="1" spans="1:9">
      <c r="A18" s="164" t="s">
        <v>137</v>
      </c>
      <c r="B18" s="165" t="s">
        <v>138</v>
      </c>
      <c r="C18" s="165"/>
      <c r="D18" s="8" t="s">
        <v>86</v>
      </c>
      <c r="E18" s="8"/>
      <c r="F18" s="9"/>
      <c r="H18" t="s">
        <v>139</v>
      </c>
      <c r="I18" t="s">
        <v>140</v>
      </c>
    </row>
    <row r="19" ht="19" customHeight="1" spans="1:9">
      <c r="A19" s="164" t="s">
        <v>141</v>
      </c>
      <c r="B19" s="165" t="s">
        <v>142</v>
      </c>
      <c r="C19" s="165"/>
      <c r="D19" s="8" t="s">
        <v>86</v>
      </c>
      <c r="E19" s="8"/>
      <c r="F19" s="9"/>
      <c r="H19" t="s">
        <v>143</v>
      </c>
      <c r="I19" t="s">
        <v>144</v>
      </c>
    </row>
    <row r="20" ht="19" customHeight="1" spans="1:9">
      <c r="A20" s="164" t="s">
        <v>145</v>
      </c>
      <c r="B20" s="165" t="s">
        <v>146</v>
      </c>
      <c r="C20" s="165"/>
      <c r="D20" s="8" t="s">
        <v>86</v>
      </c>
      <c r="E20" s="8"/>
      <c r="F20" s="9"/>
      <c r="H20" t="s">
        <v>147</v>
      </c>
      <c r="I20" t="s">
        <v>148</v>
      </c>
    </row>
    <row r="21" ht="19" customHeight="1" spans="1:9">
      <c r="A21" s="164" t="s">
        <v>149</v>
      </c>
      <c r="B21" s="165" t="s">
        <v>150</v>
      </c>
      <c r="C21" s="165"/>
      <c r="D21" s="8" t="s">
        <v>86</v>
      </c>
      <c r="E21" s="8"/>
      <c r="F21" s="9"/>
      <c r="H21" t="s">
        <v>151</v>
      </c>
      <c r="I21" t="s">
        <v>152</v>
      </c>
    </row>
    <row r="22" ht="19" customHeight="1" spans="1:9">
      <c r="A22" s="164" t="s">
        <v>153</v>
      </c>
      <c r="B22" s="165" t="s">
        <v>154</v>
      </c>
      <c r="C22" s="165"/>
      <c r="D22" s="8" t="s">
        <v>86</v>
      </c>
      <c r="E22" s="8"/>
      <c r="F22" s="9"/>
      <c r="H22" t="s">
        <v>155</v>
      </c>
      <c r="I22" t="s">
        <v>156</v>
      </c>
    </row>
    <row r="23" ht="19" customHeight="1" spans="1:9">
      <c r="A23" s="164" t="s">
        <v>157</v>
      </c>
      <c r="B23" s="165" t="s">
        <v>158</v>
      </c>
      <c r="C23" s="165"/>
      <c r="D23" s="8" t="s">
        <v>86</v>
      </c>
      <c r="E23" s="8"/>
      <c r="F23" s="9"/>
      <c r="H23" t="s">
        <v>159</v>
      </c>
      <c r="I23" t="s">
        <v>160</v>
      </c>
    </row>
    <row r="24" ht="19" customHeight="1" spans="1:9">
      <c r="A24" s="164" t="s">
        <v>161</v>
      </c>
      <c r="B24" s="165" t="s">
        <v>162</v>
      </c>
      <c r="C24" s="165"/>
      <c r="D24" s="8" t="s">
        <v>86</v>
      </c>
      <c r="E24" s="8"/>
      <c r="F24" s="9"/>
      <c r="H24" t="s">
        <v>163</v>
      </c>
      <c r="I24" t="s">
        <v>164</v>
      </c>
    </row>
    <row r="25" ht="19" customHeight="1" spans="1:9">
      <c r="A25" s="164" t="s">
        <v>165</v>
      </c>
      <c r="B25" s="9" t="s">
        <v>166</v>
      </c>
      <c r="C25" s="9"/>
      <c r="D25" s="8" t="s">
        <v>86</v>
      </c>
      <c r="E25" s="8"/>
      <c r="F25" s="9"/>
      <c r="H25" t="s">
        <v>167</v>
      </c>
      <c r="I25" t="s">
        <v>168</v>
      </c>
    </row>
    <row r="26" ht="19" customHeight="1" spans="1:9">
      <c r="A26" s="164" t="s">
        <v>169</v>
      </c>
      <c r="B26" s="9" t="s">
        <v>170</v>
      </c>
      <c r="C26" s="9"/>
      <c r="D26" s="8" t="s">
        <v>86</v>
      </c>
      <c r="E26" s="8"/>
      <c r="F26" s="9"/>
      <c r="H26" t="s">
        <v>171</v>
      </c>
      <c r="I26" t="s">
        <v>172</v>
      </c>
    </row>
    <row r="27" ht="19" customHeight="1" spans="1:9">
      <c r="A27" s="164" t="s">
        <v>173</v>
      </c>
      <c r="B27" s="9" t="s">
        <v>174</v>
      </c>
      <c r="C27" s="9"/>
      <c r="D27" s="8" t="s">
        <v>86</v>
      </c>
      <c r="E27" s="8"/>
      <c r="F27" s="9"/>
      <c r="H27" t="s">
        <v>175</v>
      </c>
      <c r="I27" t="s">
        <v>176</v>
      </c>
    </row>
    <row r="28" ht="19" customHeight="1" spans="1:9">
      <c r="A28" s="164" t="s">
        <v>177</v>
      </c>
      <c r="B28" s="9" t="s">
        <v>178</v>
      </c>
      <c r="C28" s="9"/>
      <c r="D28" s="8" t="s">
        <v>86</v>
      </c>
      <c r="E28" s="8"/>
      <c r="F28" s="9"/>
      <c r="H28" t="s">
        <v>179</v>
      </c>
      <c r="I28" t="s">
        <v>180</v>
      </c>
    </row>
    <row r="29" ht="19" customHeight="1" spans="1:9">
      <c r="A29" s="164" t="s">
        <v>181</v>
      </c>
      <c r="B29" s="9" t="s">
        <v>182</v>
      </c>
      <c r="C29" s="9"/>
      <c r="D29" s="8" t="s">
        <v>86</v>
      </c>
      <c r="E29" s="8"/>
      <c r="F29" s="9"/>
      <c r="H29" t="s">
        <v>183</v>
      </c>
      <c r="I29" t="s">
        <v>184</v>
      </c>
    </row>
    <row r="30" ht="19" customHeight="1" spans="1:9">
      <c r="A30" s="164" t="s">
        <v>185</v>
      </c>
      <c r="B30" s="9" t="s">
        <v>186</v>
      </c>
      <c r="C30" s="9"/>
      <c r="D30" s="8" t="s">
        <v>86</v>
      </c>
      <c r="E30" s="8"/>
      <c r="F30" s="9"/>
      <c r="H30" t="s">
        <v>187</v>
      </c>
      <c r="I30" t="s">
        <v>188</v>
      </c>
    </row>
    <row r="31" ht="19" customHeight="1" spans="1:9">
      <c r="A31" s="164" t="s">
        <v>189</v>
      </c>
      <c r="B31" s="9" t="s">
        <v>190</v>
      </c>
      <c r="C31" s="9" t="s">
        <v>191</v>
      </c>
      <c r="D31" s="8" t="s">
        <v>86</v>
      </c>
      <c r="E31" s="8"/>
      <c r="F31" s="9"/>
      <c r="H31" t="s">
        <v>192</v>
      </c>
      <c r="I31" t="s">
        <v>193</v>
      </c>
    </row>
    <row r="32" ht="19" customHeight="1" spans="1:9">
      <c r="A32" s="164" t="s">
        <v>194</v>
      </c>
      <c r="B32" s="9" t="s">
        <v>195</v>
      </c>
      <c r="C32" s="9"/>
      <c r="D32" s="8" t="s">
        <v>86</v>
      </c>
      <c r="E32" s="8"/>
      <c r="F32" s="9"/>
      <c r="H32" t="s">
        <v>196</v>
      </c>
      <c r="I32" t="s">
        <v>197</v>
      </c>
    </row>
    <row r="33" ht="19" customHeight="1" spans="1:9">
      <c r="A33" s="164" t="s">
        <v>198</v>
      </c>
      <c r="B33" s="9" t="s">
        <v>199</v>
      </c>
      <c r="C33" s="9"/>
      <c r="D33" s="8" t="s">
        <v>86</v>
      </c>
      <c r="E33" s="8"/>
      <c r="F33" s="9"/>
      <c r="H33" t="s">
        <v>200</v>
      </c>
      <c r="I33" t="s">
        <v>201</v>
      </c>
    </row>
    <row r="34" ht="19" customHeight="1" spans="1:9">
      <c r="A34" s="164" t="s">
        <v>202</v>
      </c>
      <c r="B34" s="9" t="s">
        <v>203</v>
      </c>
      <c r="C34" s="9"/>
      <c r="D34" s="8" t="s">
        <v>86</v>
      </c>
      <c r="E34" s="8"/>
      <c r="F34" s="9"/>
      <c r="H34" t="s">
        <v>204</v>
      </c>
      <c r="I34" t="s">
        <v>205</v>
      </c>
    </row>
    <row r="35" ht="19" customHeight="1" spans="1:9">
      <c r="A35" s="164" t="s">
        <v>206</v>
      </c>
      <c r="B35" s="9" t="s">
        <v>207</v>
      </c>
      <c r="C35" s="9"/>
      <c r="D35" s="8" t="s">
        <v>86</v>
      </c>
      <c r="E35" s="8"/>
      <c r="F35" s="9"/>
      <c r="H35" t="s">
        <v>208</v>
      </c>
      <c r="I35" t="s">
        <v>209</v>
      </c>
    </row>
    <row r="36" ht="19" customHeight="1" spans="1:9">
      <c r="A36" s="164" t="s">
        <v>210</v>
      </c>
      <c r="B36" s="9" t="s">
        <v>211</v>
      </c>
      <c r="C36" s="9"/>
      <c r="D36" s="8" t="s">
        <v>86</v>
      </c>
      <c r="E36" s="8"/>
      <c r="F36" s="9"/>
      <c r="H36" t="s">
        <v>212</v>
      </c>
      <c r="I36" t="s">
        <v>213</v>
      </c>
    </row>
    <row r="37" ht="19" customHeight="1" spans="1:9">
      <c r="A37" s="164" t="s">
        <v>214</v>
      </c>
      <c r="B37" s="9" t="s">
        <v>215</v>
      </c>
      <c r="C37" s="9"/>
      <c r="D37" s="8" t="s">
        <v>86</v>
      </c>
      <c r="E37" s="8"/>
      <c r="F37" s="9"/>
      <c r="H37" t="s">
        <v>216</v>
      </c>
      <c r="I37" t="s">
        <v>217</v>
      </c>
    </row>
    <row r="38" ht="19" customHeight="1" spans="1:9">
      <c r="A38" s="164" t="s">
        <v>218</v>
      </c>
      <c r="B38" s="9" t="s">
        <v>219</v>
      </c>
      <c r="C38" s="9"/>
      <c r="D38" s="8" t="s">
        <v>86</v>
      </c>
      <c r="E38" s="8"/>
      <c r="F38" s="9"/>
      <c r="H38" t="s">
        <v>220</v>
      </c>
      <c r="I38" t="s">
        <v>221</v>
      </c>
    </row>
    <row r="39" ht="19" customHeight="1" spans="1:9">
      <c r="A39" s="164" t="s">
        <v>222</v>
      </c>
      <c r="B39" s="9" t="s">
        <v>223</v>
      </c>
      <c r="C39" s="9"/>
      <c r="D39" s="8" t="s">
        <v>86</v>
      </c>
      <c r="E39" s="8"/>
      <c r="F39" s="9"/>
      <c r="H39" t="s">
        <v>224</v>
      </c>
      <c r="I39" t="s">
        <v>225</v>
      </c>
    </row>
    <row r="40" ht="19" customHeight="1" spans="1:9">
      <c r="A40" s="164" t="s">
        <v>226</v>
      </c>
      <c r="B40" s="9" t="s">
        <v>227</v>
      </c>
      <c r="C40" s="9"/>
      <c r="D40" s="8" t="s">
        <v>86</v>
      </c>
      <c r="E40" s="8"/>
      <c r="F40" s="9"/>
      <c r="H40" t="s">
        <v>228</v>
      </c>
      <c r="I40" t="s">
        <v>229</v>
      </c>
    </row>
    <row r="41" ht="19" customHeight="1" spans="1:9">
      <c r="A41" s="164" t="s">
        <v>230</v>
      </c>
      <c r="B41" s="9" t="s">
        <v>231</v>
      </c>
      <c r="C41" s="9"/>
      <c r="D41" s="8" t="s">
        <v>86</v>
      </c>
      <c r="E41" s="8"/>
      <c r="F41" s="9"/>
      <c r="H41" t="s">
        <v>232</v>
      </c>
      <c r="I41" t="s">
        <v>233</v>
      </c>
    </row>
    <row r="42" ht="21" customHeight="1" spans="1:9">
      <c r="A42" s="164" t="s">
        <v>234</v>
      </c>
      <c r="B42" s="9" t="s">
        <v>235</v>
      </c>
      <c r="C42" s="9"/>
      <c r="D42" s="8" t="s">
        <v>86</v>
      </c>
      <c r="E42" s="8"/>
      <c r="F42" s="9"/>
      <c r="H42" t="s">
        <v>236</v>
      </c>
      <c r="I42" t="s">
        <v>237</v>
      </c>
    </row>
    <row r="43" ht="21" customHeight="1" spans="1:9">
      <c r="A43" s="164" t="s">
        <v>238</v>
      </c>
      <c r="B43" s="9" t="s">
        <v>239</v>
      </c>
      <c r="C43" s="9" t="s">
        <v>240</v>
      </c>
      <c r="D43" s="8" t="s">
        <v>86</v>
      </c>
      <c r="E43" s="8"/>
      <c r="F43" s="9"/>
      <c r="H43" t="s">
        <v>241</v>
      </c>
      <c r="I43" t="s">
        <v>242</v>
      </c>
    </row>
    <row r="44" ht="21" customHeight="1" spans="1:9">
      <c r="A44" s="164" t="s">
        <v>243</v>
      </c>
      <c r="B44" s="9" t="s">
        <v>244</v>
      </c>
      <c r="C44" s="9" t="s">
        <v>245</v>
      </c>
      <c r="D44" s="8" t="s">
        <v>86</v>
      </c>
      <c r="E44" s="8"/>
      <c r="F44" s="9"/>
      <c r="H44" t="s">
        <v>246</v>
      </c>
      <c r="I44" t="s">
        <v>247</v>
      </c>
    </row>
    <row r="45" ht="21" customHeight="1" spans="1:9">
      <c r="A45" s="164" t="s">
        <v>248</v>
      </c>
      <c r="B45" s="9" t="s">
        <v>249</v>
      </c>
      <c r="C45" s="9"/>
      <c r="D45" s="8" t="s">
        <v>86</v>
      </c>
      <c r="E45" s="8"/>
      <c r="F45" s="9"/>
      <c r="H45" t="s">
        <v>250</v>
      </c>
      <c r="I45" t="s">
        <v>251</v>
      </c>
    </row>
    <row r="46" ht="21" customHeight="1" spans="1:9">
      <c r="A46" s="164" t="s">
        <v>252</v>
      </c>
      <c r="B46" s="9" t="s">
        <v>253</v>
      </c>
      <c r="C46" s="9"/>
      <c r="D46" s="8" t="s">
        <v>86</v>
      </c>
      <c r="E46" s="8"/>
      <c r="F46" s="9"/>
      <c r="H46" t="s">
        <v>254</v>
      </c>
      <c r="I46" t="s">
        <v>255</v>
      </c>
    </row>
    <row r="47" ht="21" customHeight="1" spans="1:9">
      <c r="A47" s="164" t="s">
        <v>256</v>
      </c>
      <c r="B47" s="9" t="s">
        <v>257</v>
      </c>
      <c r="C47" s="9"/>
      <c r="D47" s="8" t="s">
        <v>86</v>
      </c>
      <c r="E47" s="8"/>
      <c r="F47" s="9"/>
      <c r="H47" t="s">
        <v>258</v>
      </c>
      <c r="I47" t="s">
        <v>259</v>
      </c>
    </row>
    <row r="48" ht="21" customHeight="1" spans="1:9">
      <c r="A48" s="164" t="s">
        <v>260</v>
      </c>
      <c r="B48" s="9" t="s">
        <v>261</v>
      </c>
      <c r="C48" s="9"/>
      <c r="D48" s="8" t="s">
        <v>86</v>
      </c>
      <c r="E48" s="8"/>
      <c r="F48" s="9"/>
      <c r="H48" t="s">
        <v>262</v>
      </c>
      <c r="I48" t="s">
        <v>263</v>
      </c>
    </row>
    <row r="49" ht="21" customHeight="1" spans="1:9">
      <c r="A49" s="164" t="s">
        <v>264</v>
      </c>
      <c r="B49" s="9" t="s">
        <v>265</v>
      </c>
      <c r="C49" s="9"/>
      <c r="D49" s="8" t="s">
        <v>86</v>
      </c>
      <c r="E49" s="8"/>
      <c r="F49" s="9"/>
      <c r="H49" t="s">
        <v>266</v>
      </c>
      <c r="I49" t="s">
        <v>267</v>
      </c>
    </row>
    <row r="50" ht="21" customHeight="1" spans="1:9">
      <c r="A50" s="9"/>
      <c r="B50" s="9"/>
      <c r="C50" s="9"/>
      <c r="D50" s="9"/>
      <c r="E50" s="8"/>
      <c r="F50" s="9"/>
      <c r="H50" t="s">
        <v>268</v>
      </c>
      <c r="I50" t="s">
        <v>269</v>
      </c>
    </row>
    <row r="51" ht="24" customHeight="1" spans="1:9">
      <c r="A51" s="164" t="s">
        <v>270</v>
      </c>
      <c r="B51" s="9" t="s">
        <v>271</v>
      </c>
      <c r="C51" s="9"/>
      <c r="D51" s="9"/>
      <c r="E51" s="8"/>
      <c r="F51" s="9"/>
      <c r="H51" t="s">
        <v>272</v>
      </c>
      <c r="I51" t="s">
        <v>273</v>
      </c>
    </row>
    <row r="52" ht="24" customHeight="1" spans="1:9">
      <c r="A52" s="9" t="s">
        <v>274</v>
      </c>
      <c r="B52" s="9"/>
      <c r="C52" s="9"/>
      <c r="D52" s="9"/>
      <c r="E52" s="8"/>
      <c r="F52" s="9"/>
      <c r="H52" t="s">
        <v>275</v>
      </c>
      <c r="I52" t="s">
        <v>276</v>
      </c>
    </row>
    <row r="53" ht="22" customHeight="1" spans="1:9">
      <c r="A53" s="164" t="s">
        <v>277</v>
      </c>
      <c r="B53" s="9" t="s">
        <v>278</v>
      </c>
      <c r="C53" s="9"/>
      <c r="D53" s="9"/>
      <c r="E53" s="8"/>
      <c r="F53" s="9"/>
      <c r="H53" t="s">
        <v>279</v>
      </c>
      <c r="I53" t="s">
        <v>280</v>
      </c>
    </row>
    <row r="54" ht="22" customHeight="1" spans="1:9">
      <c r="A54" s="164" t="s">
        <v>281</v>
      </c>
      <c r="B54" s="9" t="s">
        <v>282</v>
      </c>
      <c r="C54" s="9"/>
      <c r="D54" s="9"/>
      <c r="E54" s="8"/>
      <c r="F54" s="9"/>
      <c r="H54" t="s">
        <v>283</v>
      </c>
      <c r="I54" t="s">
        <v>284</v>
      </c>
    </row>
    <row r="55" ht="22" customHeight="1" spans="1:9">
      <c r="A55" s="164" t="s">
        <v>285</v>
      </c>
      <c r="B55" s="9" t="s">
        <v>286</v>
      </c>
      <c r="C55" s="9"/>
      <c r="D55" s="9"/>
      <c r="E55" s="8"/>
      <c r="F55" s="9"/>
      <c r="H55" t="s">
        <v>287</v>
      </c>
      <c r="I55" t="s">
        <v>288</v>
      </c>
    </row>
    <row r="56" ht="22" customHeight="1" spans="1:9">
      <c r="A56" s="164" t="s">
        <v>289</v>
      </c>
      <c r="B56" s="9" t="s">
        <v>290</v>
      </c>
      <c r="C56" s="9"/>
      <c r="D56" s="9"/>
      <c r="E56" s="8"/>
      <c r="F56" s="9"/>
      <c r="H56" t="s">
        <v>291</v>
      </c>
      <c r="I56" t="s">
        <v>292</v>
      </c>
    </row>
    <row r="57" ht="22" customHeight="1" spans="1:9">
      <c r="A57" s="164" t="s">
        <v>293</v>
      </c>
      <c r="B57" s="9" t="s">
        <v>294</v>
      </c>
      <c r="C57" s="9"/>
      <c r="D57" s="9"/>
      <c r="E57" s="8"/>
      <c r="F57" s="9"/>
      <c r="H57" t="s">
        <v>295</v>
      </c>
      <c r="I57" t="s">
        <v>296</v>
      </c>
    </row>
    <row r="58" ht="22" customHeight="1" spans="1:9">
      <c r="A58" s="164" t="s">
        <v>281</v>
      </c>
      <c r="B58" s="9" t="s">
        <v>297</v>
      </c>
      <c r="C58" s="9"/>
      <c r="D58" s="9"/>
      <c r="E58" s="8"/>
      <c r="F58" s="9"/>
      <c r="H58" t="s">
        <v>298</v>
      </c>
      <c r="I58" t="s">
        <v>299</v>
      </c>
    </row>
    <row r="59" spans="1:9">
      <c r="A59" s="164"/>
      <c r="B59" s="9"/>
      <c r="C59" s="9"/>
      <c r="D59" s="9"/>
      <c r="E59" s="8"/>
      <c r="F59" s="9"/>
      <c r="H59" t="s">
        <v>300</v>
      </c>
      <c r="I59" t="s">
        <v>301</v>
      </c>
    </row>
    <row r="60" spans="1:9">
      <c r="A60" s="164"/>
      <c r="B60" s="9"/>
      <c r="C60" s="9"/>
      <c r="D60" s="9"/>
      <c r="E60" s="8"/>
      <c r="F60" s="9"/>
      <c r="H60" t="s">
        <v>302</v>
      </c>
      <c r="I60" t="s">
        <v>303</v>
      </c>
    </row>
    <row r="61" spans="1:9">
      <c r="H61" t="s">
        <v>304</v>
      </c>
      <c r="I61" t="s">
        <v>305</v>
      </c>
    </row>
    <row r="62" spans="1:9">
      <c r="H62" t="s">
        <v>306</v>
      </c>
      <c r="I62" t="s">
        <v>307</v>
      </c>
    </row>
    <row r="63" spans="1:9">
      <c r="H63" t="s">
        <v>308</v>
      </c>
      <c r="I63" t="s">
        <v>309</v>
      </c>
    </row>
    <row r="64" spans="1:9">
      <c r="H64" t="s">
        <v>310</v>
      </c>
      <c r="I64" t="s">
        <v>311</v>
      </c>
    </row>
    <row r="65" spans="8:9">
      <c r="H65" t="s">
        <v>312</v>
      </c>
      <c r="I65" t="s">
        <v>313</v>
      </c>
    </row>
    <row r="66" spans="8:9">
      <c r="H66" t="s">
        <v>314</v>
      </c>
      <c r="I66" t="s">
        <v>315</v>
      </c>
    </row>
    <row r="67" spans="8:9">
      <c r="H67" t="s">
        <v>316</v>
      </c>
      <c r="I67" t="s">
        <v>317</v>
      </c>
    </row>
    <row r="68" spans="8:9">
      <c r="H68" t="s">
        <v>318</v>
      </c>
      <c r="I68" t="s">
        <v>319</v>
      </c>
    </row>
    <row r="69" spans="8:9">
      <c r="H69" t="s">
        <v>320</v>
      </c>
      <c r="I69" t="s">
        <v>321</v>
      </c>
    </row>
    <row r="70" spans="8:9">
      <c r="H70" t="s">
        <v>322</v>
      </c>
      <c r="I70" t="s">
        <v>323</v>
      </c>
    </row>
    <row r="71" spans="8:9">
      <c r="H71" t="s">
        <v>324</v>
      </c>
      <c r="I71" t="s">
        <v>325</v>
      </c>
    </row>
    <row r="72" spans="8:9">
      <c r="H72" t="s">
        <v>326</v>
      </c>
      <c r="I72" t="s">
        <v>327</v>
      </c>
    </row>
    <row r="73" spans="8:9">
      <c r="H73" t="s">
        <v>328</v>
      </c>
      <c r="I73" t="s">
        <v>329</v>
      </c>
    </row>
    <row r="74" spans="8:9">
      <c r="H74" t="s">
        <v>330</v>
      </c>
      <c r="I74" t="s">
        <v>331</v>
      </c>
    </row>
    <row r="75" spans="8:9">
      <c r="H75" t="s">
        <v>332</v>
      </c>
      <c r="I75" t="s">
        <v>333</v>
      </c>
    </row>
    <row r="76" spans="8:9">
      <c r="H76" t="s">
        <v>334</v>
      </c>
      <c r="I76" t="s">
        <v>335</v>
      </c>
    </row>
    <row r="77" spans="8:9">
      <c r="H77" t="s">
        <v>336</v>
      </c>
      <c r="I77" t="s">
        <v>337</v>
      </c>
    </row>
    <row r="78" spans="8:9">
      <c r="H78" t="s">
        <v>338</v>
      </c>
      <c r="I78" t="s">
        <v>339</v>
      </c>
    </row>
    <row r="79" spans="8:9">
      <c r="H79" t="s">
        <v>340</v>
      </c>
      <c r="I79" t="s">
        <v>341</v>
      </c>
    </row>
    <row r="80" spans="8:9">
      <c r="H80" t="s">
        <v>342</v>
      </c>
      <c r="I80" t="s">
        <v>343</v>
      </c>
    </row>
    <row r="81" spans="8:9">
      <c r="H81" t="s">
        <v>344</v>
      </c>
      <c r="I81" t="s">
        <v>345</v>
      </c>
    </row>
    <row r="82" spans="8:9">
      <c r="H82" t="s">
        <v>346</v>
      </c>
      <c r="I82" t="s">
        <v>347</v>
      </c>
    </row>
    <row r="83" spans="8:9">
      <c r="H83" t="s">
        <v>348</v>
      </c>
      <c r="I83" t="s">
        <v>349</v>
      </c>
    </row>
    <row r="84" spans="8:9">
      <c r="H84" t="s">
        <v>350</v>
      </c>
      <c r="I84" t="s">
        <v>351</v>
      </c>
    </row>
    <row r="85" spans="8:9">
      <c r="H85" t="s">
        <v>352</v>
      </c>
      <c r="I85" t="s">
        <v>353</v>
      </c>
    </row>
    <row r="86" spans="8:9">
      <c r="H86" t="s">
        <v>354</v>
      </c>
      <c r="I86" t="s">
        <v>355</v>
      </c>
    </row>
    <row r="87" spans="8:9">
      <c r="H87" t="s">
        <v>356</v>
      </c>
      <c r="I87" t="s">
        <v>357</v>
      </c>
    </row>
    <row r="88" spans="8:9">
      <c r="H88" t="s">
        <v>358</v>
      </c>
      <c r="I88" t="s">
        <v>359</v>
      </c>
    </row>
    <row r="89" spans="8:9">
      <c r="H89" t="s">
        <v>360</v>
      </c>
      <c r="I89" t="s">
        <v>361</v>
      </c>
    </row>
    <row r="90" spans="8:9">
      <c r="H90" t="s">
        <v>362</v>
      </c>
      <c r="I90" t="s">
        <v>363</v>
      </c>
    </row>
    <row r="91" spans="8:9">
      <c r="H91" t="s">
        <v>364</v>
      </c>
      <c r="I91" t="s">
        <v>365</v>
      </c>
    </row>
    <row r="92" spans="8:9">
      <c r="H92" t="s">
        <v>366</v>
      </c>
      <c r="I92" t="s">
        <v>367</v>
      </c>
    </row>
    <row r="93" spans="8:9">
      <c r="H93" t="s">
        <v>368</v>
      </c>
      <c r="I93" t="s">
        <v>369</v>
      </c>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Y26"/>
  <sheetViews>
    <sheetView workbookViewId="0">
      <selection activeCell="H25" sqref="H25"/>
    </sheetView>
  </sheetViews>
  <sheetFormatPr defaultColWidth="9.02884615384615" defaultRowHeight="16.8"/>
  <cols>
    <col min="1" max="1" width="3.39423076923077" customWidth="1"/>
    <col min="2" max="3" width="10.4230769230769" customWidth="1"/>
    <col min="4" max="4" width="11.5576923076923" customWidth="1"/>
    <col min="5" max="5" width="13.8076923076923" customWidth="1"/>
    <col min="6" max="6" width="19.9807692307692" customWidth="1"/>
    <col min="7" max="7" width="13.0096153846154" customWidth="1"/>
    <col min="8" max="8" width="41.6153846153846" customWidth="1"/>
    <col min="9" max="9" width="18.1923076923077" customWidth="1"/>
    <col min="10" max="10" width="16.5288461538462" customWidth="1"/>
    <col min="11" max="11" width="9.83653846153846" customWidth="1"/>
    <col min="15" max="15" width="3.72115384615385" customWidth="1"/>
    <col min="16" max="16" width="7.5" customWidth="1"/>
    <col min="17" max="17" width="13.0865384615385" customWidth="1"/>
    <col min="18" max="18" width="23.5" customWidth="1"/>
    <col min="23" max="23" width="14.7403846153846" customWidth="1"/>
  </cols>
  <sheetData>
    <row r="1" ht="19" customHeight="1" spans="2:25">
      <c r="E1" t="s">
        <v>370</v>
      </c>
    </row>
    <row r="2" ht="22" customHeight="1" spans="2:25">
      <c r="B2" s="159"/>
      <c r="F2" t="s">
        <v>371</v>
      </c>
      <c r="I2" t="s">
        <v>372</v>
      </c>
      <c r="Q2" t="s">
        <v>373</v>
      </c>
      <c r="W2" t="s">
        <v>374</v>
      </c>
    </row>
    <row r="3" ht="21" customHeight="1" spans="2:25">
      <c r="B3" s="8" t="s">
        <v>375</v>
      </c>
      <c r="C3" s="8" t="s">
        <v>376</v>
      </c>
      <c r="D3" s="8" t="s">
        <v>377</v>
      </c>
      <c r="E3" s="8" t="s">
        <v>378</v>
      </c>
      <c r="F3" s="8" t="s">
        <v>379</v>
      </c>
      <c r="G3" s="160" t="s">
        <v>380</v>
      </c>
      <c r="H3" s="8" t="s">
        <v>381</v>
      </c>
      <c r="I3" s="8" t="s">
        <v>33</v>
      </c>
      <c r="J3" s="8" t="s">
        <v>382</v>
      </c>
      <c r="K3" s="8" t="s">
        <v>383</v>
      </c>
      <c r="L3" s="8" t="s">
        <v>384</v>
      </c>
      <c r="M3" s="8" t="s">
        <v>385</v>
      </c>
      <c r="N3" s="8" t="s">
        <v>386</v>
      </c>
      <c r="O3" s="127"/>
      <c r="P3" s="127" t="s">
        <v>387</v>
      </c>
      <c r="Q3" s="127" t="s">
        <v>388</v>
      </c>
      <c r="R3" s="127" t="s">
        <v>389</v>
      </c>
      <c r="S3" s="127" t="s">
        <v>390</v>
      </c>
      <c r="V3" t="s">
        <v>391</v>
      </c>
      <c r="W3" t="s">
        <v>392</v>
      </c>
      <c r="X3" t="s">
        <v>393</v>
      </c>
      <c r="Y3" t="s">
        <v>394</v>
      </c>
    </row>
    <row r="4" ht="21" customHeight="1" spans="2:25">
      <c r="B4" s="9"/>
      <c r="C4" s="9"/>
      <c r="D4" s="9" t="s">
        <v>395</v>
      </c>
      <c r="E4" t="s">
        <v>396</v>
      </c>
      <c r="F4" s="9" t="s">
        <v>397</v>
      </c>
      <c r="G4" s="9"/>
      <c r="H4" s="9"/>
      <c r="I4" s="9" t="s">
        <v>35</v>
      </c>
      <c r="J4" s="9"/>
      <c r="K4" s="9"/>
      <c r="L4" s="9"/>
      <c r="M4" s="9"/>
      <c r="N4" s="9"/>
      <c r="P4" t="s">
        <v>398</v>
      </c>
      <c r="Q4" t="s">
        <v>399</v>
      </c>
      <c r="R4" t="s">
        <v>400</v>
      </c>
      <c r="S4">
        <v>50000</v>
      </c>
      <c r="V4" t="s">
        <v>401</v>
      </c>
      <c r="W4" t="s">
        <v>402</v>
      </c>
      <c r="X4">
        <v>10</v>
      </c>
      <c r="Y4">
        <v>10000</v>
      </c>
    </row>
    <row r="5" ht="21" customHeight="1" spans="2:25">
      <c r="B5" s="9"/>
      <c r="C5" s="9" t="s">
        <v>403</v>
      </c>
      <c r="D5" s="9" t="s">
        <v>404</v>
      </c>
      <c r="E5" s="9" t="s">
        <v>405</v>
      </c>
      <c r="F5" s="9"/>
      <c r="G5" s="9"/>
      <c r="H5" s="9" t="s">
        <v>406</v>
      </c>
      <c r="I5" s="9" t="s">
        <v>36</v>
      </c>
      <c r="J5" s="9"/>
      <c r="K5" s="9"/>
      <c r="L5" s="9"/>
      <c r="M5" s="9"/>
      <c r="N5" s="9"/>
      <c r="P5" t="s">
        <v>407</v>
      </c>
      <c r="Q5" t="s">
        <v>399</v>
      </c>
      <c r="R5" t="s">
        <v>408</v>
      </c>
      <c r="S5">
        <v>2000</v>
      </c>
      <c r="V5" t="s">
        <v>409</v>
      </c>
      <c r="W5" t="s">
        <v>402</v>
      </c>
      <c r="X5">
        <v>20</v>
      </c>
      <c r="Y5">
        <v>20000</v>
      </c>
    </row>
    <row r="6" ht="21" customHeight="1" spans="2:25">
      <c r="B6" s="9"/>
      <c r="C6" s="9"/>
      <c r="D6" s="9" t="s">
        <v>404</v>
      </c>
      <c r="E6" s="9" t="s">
        <v>410</v>
      </c>
      <c r="F6" s="9"/>
      <c r="G6" s="9"/>
      <c r="H6" s="9"/>
      <c r="I6" s="9" t="s">
        <v>37</v>
      </c>
      <c r="J6" s="9"/>
      <c r="K6" s="9"/>
      <c r="L6" s="9"/>
      <c r="M6" s="9"/>
      <c r="N6" s="9"/>
      <c r="V6" t="s">
        <v>411</v>
      </c>
      <c r="W6" t="s">
        <v>402</v>
      </c>
      <c r="X6">
        <v>20</v>
      </c>
      <c r="Y6">
        <v>20000</v>
      </c>
    </row>
    <row r="7" ht="21" customHeight="1" spans="2:25">
      <c r="B7" s="9"/>
      <c r="C7" s="9"/>
      <c r="D7" s="9" t="s">
        <v>395</v>
      </c>
      <c r="E7" t="s">
        <v>396</v>
      </c>
      <c r="F7" s="9"/>
      <c r="G7" s="9"/>
      <c r="H7" s="9" t="s">
        <v>400</v>
      </c>
      <c r="I7" s="9" t="s">
        <v>38</v>
      </c>
      <c r="J7" s="9"/>
      <c r="K7" s="9"/>
      <c r="L7" s="9"/>
      <c r="M7" s="9"/>
      <c r="N7" s="9"/>
    </row>
    <row r="8" ht="21" customHeight="1" spans="2:25">
      <c r="B8" s="9"/>
      <c r="C8" s="9"/>
      <c r="D8" s="9"/>
      <c r="E8" s="9"/>
      <c r="F8" s="9"/>
      <c r="G8" s="9"/>
      <c r="H8" s="9"/>
      <c r="I8" s="9" t="s">
        <v>412</v>
      </c>
      <c r="J8" s="9"/>
      <c r="K8" s="9"/>
      <c r="L8" s="9"/>
      <c r="M8" s="9"/>
      <c r="N8" s="9"/>
    </row>
    <row r="9" ht="21" customHeight="1" spans="2:25">
      <c r="B9" s="9"/>
      <c r="C9" s="9"/>
      <c r="D9" s="9"/>
      <c r="E9" s="9"/>
      <c r="F9" s="9"/>
      <c r="G9" s="9"/>
      <c r="H9" s="9"/>
      <c r="I9" s="9"/>
      <c r="J9" s="9"/>
      <c r="K9" s="9"/>
      <c r="L9" s="9"/>
      <c r="M9" s="9"/>
      <c r="N9" s="9"/>
      <c r="Q9" s="127" t="s">
        <v>413</v>
      </c>
      <c r="R9" t="s">
        <v>414</v>
      </c>
    </row>
    <row r="10" ht="21" customHeight="1" spans="2:25">
      <c r="B10" s="9"/>
      <c r="C10" s="9"/>
      <c r="D10" s="9"/>
      <c r="E10" s="9"/>
      <c r="F10" s="9"/>
      <c r="G10" s="9"/>
      <c r="H10" s="9"/>
      <c r="I10" s="9"/>
      <c r="J10" s="9"/>
      <c r="K10" s="9"/>
      <c r="L10" s="9"/>
      <c r="M10" s="9"/>
      <c r="N10" s="9"/>
      <c r="Q10" s="127" t="s">
        <v>415</v>
      </c>
      <c r="R10" t="s">
        <v>416</v>
      </c>
    </row>
    <row r="11" ht="21" customHeight="1" spans="2:25">
      <c r="B11" s="9"/>
      <c r="C11" s="9"/>
      <c r="D11" s="9"/>
      <c r="E11" s="9"/>
      <c r="F11" s="9"/>
      <c r="G11" s="9"/>
      <c r="H11" s="9"/>
      <c r="I11" s="9"/>
      <c r="J11" s="9"/>
      <c r="K11" s="9"/>
      <c r="L11" s="9"/>
      <c r="M11" s="9"/>
      <c r="N11" s="9"/>
      <c r="Q11" s="127" t="s">
        <v>417</v>
      </c>
      <c r="R11" t="s">
        <v>418</v>
      </c>
    </row>
    <row r="12" ht="23" customHeight="1" spans="2:25">
      <c r="B12" s="9"/>
      <c r="C12" s="9"/>
      <c r="D12" s="9"/>
      <c r="E12" s="9"/>
      <c r="F12" s="9"/>
      <c r="G12" s="9"/>
      <c r="H12" s="9"/>
      <c r="I12" s="9"/>
      <c r="J12" s="9"/>
      <c r="K12" s="9"/>
      <c r="L12" s="9"/>
      <c r="M12" s="9"/>
      <c r="N12" s="9"/>
      <c r="Q12" s="127" t="s">
        <v>419</v>
      </c>
      <c r="R12" t="s">
        <v>420</v>
      </c>
    </row>
    <row r="13" ht="23" customHeight="1" spans="2:25">
      <c r="B13" s="9"/>
      <c r="C13" s="9"/>
      <c r="D13" s="9"/>
      <c r="E13" s="9"/>
      <c r="F13" s="9"/>
      <c r="G13" s="9"/>
      <c r="H13" s="9"/>
      <c r="I13" s="9"/>
      <c r="J13" s="9"/>
      <c r="K13" s="9"/>
      <c r="L13" s="9"/>
      <c r="M13" s="9"/>
      <c r="N13" s="9"/>
    </row>
    <row r="14" ht="23" customHeight="1" spans="2:25">
      <c r="B14" s="9"/>
      <c r="C14" s="9"/>
      <c r="D14" s="9"/>
      <c r="E14" s="9"/>
      <c r="F14" s="9"/>
      <c r="G14" s="9"/>
      <c r="H14" s="9"/>
      <c r="I14" s="9"/>
      <c r="J14" s="9"/>
      <c r="K14" s="9"/>
      <c r="L14" s="9"/>
      <c r="M14" s="9"/>
      <c r="N14" s="9"/>
    </row>
    <row r="15" ht="23" customHeight="1"/>
    <row r="16" ht="27" customHeight="1" spans="2:25">
      <c r="B16" t="s">
        <v>421</v>
      </c>
    </row>
    <row r="17" ht="19" customHeight="1" spans="2:11">
      <c r="I17" t="s">
        <v>422</v>
      </c>
    </row>
    <row r="18" ht="19" customHeight="1" spans="2:11">
      <c r="I18" s="161" t="s">
        <v>405</v>
      </c>
      <c r="K18">
        <v>100</v>
      </c>
    </row>
    <row r="19" ht="19" customHeight="1" spans="2:11">
      <c r="I19" s="161" t="s">
        <v>410</v>
      </c>
    </row>
    <row r="20" ht="19" customHeight="1" spans="2:11">
      <c r="I20" t="s">
        <v>423</v>
      </c>
    </row>
    <row r="21" ht="19" customHeight="1" spans="2:11">
      <c r="B21" t="s">
        <v>424</v>
      </c>
      <c r="I21" t="s">
        <v>425</v>
      </c>
    </row>
    <row r="22" ht="19" customHeight="1" spans="2:11">
      <c r="B22" t="s">
        <v>426</v>
      </c>
      <c r="I22" s="161" t="s">
        <v>427</v>
      </c>
    </row>
    <row r="23" ht="19" customHeight="1" spans="2:11">
      <c r="I23" t="s">
        <v>399</v>
      </c>
    </row>
    <row r="24" ht="19" customHeight="1" spans="2:11">
      <c r="I24" s="161" t="s">
        <v>428</v>
      </c>
    </row>
    <row r="25" ht="19" customHeight="1" spans="2:11">
      <c r="I25" t="s">
        <v>429</v>
      </c>
    </row>
    <row r="26" spans="2:11">
      <c r="I26" t="s">
        <v>396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1"/>
  <sheetViews>
    <sheetView workbookViewId="0">
      <selection activeCell="E10" sqref="E10"/>
    </sheetView>
  </sheetViews>
  <sheetFormatPr defaultColWidth="9.02884615384615" defaultRowHeight="16.8"/>
  <cols>
    <col min="2" max="2" width="14.3365384615385" customWidth="1"/>
    <col min="3" max="3" width="14.1442307692308" customWidth="1"/>
    <col min="4" max="4" width="27.3557692307692" customWidth="1"/>
    <col min="6" max="6" width="32.8557692307692" customWidth="1"/>
    <col min="7" max="8" width="12.4134615384615" customWidth="1"/>
    <col min="9" max="9" width="13.875" customWidth="1"/>
    <col min="10" max="10" width="13.2788461538462" customWidth="1"/>
  </cols>
  <sheetData>
    <row r="3" ht="24" customHeight="1" spans="2:10">
      <c r="B3" s="8" t="s">
        <v>430</v>
      </c>
      <c r="C3" s="8" t="s">
        <v>431</v>
      </c>
      <c r="D3" s="8" t="s">
        <v>432</v>
      </c>
      <c r="E3" s="8" t="s">
        <v>433</v>
      </c>
      <c r="F3" s="8" t="s">
        <v>434</v>
      </c>
      <c r="G3" s="8" t="s">
        <v>384</v>
      </c>
      <c r="H3" s="8" t="s">
        <v>385</v>
      </c>
      <c r="I3" s="8" t="s">
        <v>435</v>
      </c>
      <c r="J3" s="8" t="s">
        <v>436</v>
      </c>
    </row>
    <row r="4" ht="29" customHeight="1" spans="2:10">
      <c r="B4" s="8" t="s">
        <v>437</v>
      </c>
      <c r="C4" s="9" t="s">
        <v>86</v>
      </c>
      <c r="D4" s="9" t="s">
        <v>438</v>
      </c>
      <c r="E4" s="8">
        <v>0.1</v>
      </c>
      <c r="F4" s="9" t="s">
        <v>439</v>
      </c>
      <c r="G4" s="9"/>
      <c r="H4" s="9"/>
      <c r="I4" s="9"/>
      <c r="J4" s="8" t="s">
        <v>440</v>
      </c>
    </row>
    <row r="5" ht="29" customHeight="1" spans="2:10">
      <c r="B5" s="8" t="s">
        <v>441</v>
      </c>
      <c r="C5" s="9" t="s">
        <v>77</v>
      </c>
      <c r="D5" s="9"/>
      <c r="E5" s="8">
        <v>0.2</v>
      </c>
      <c r="F5" s="9"/>
      <c r="G5" s="9"/>
      <c r="H5" s="9"/>
      <c r="I5" s="9"/>
      <c r="J5" s="9"/>
    </row>
    <row r="6" ht="30" customHeight="1" spans="2:10">
      <c r="B6" s="8"/>
      <c r="C6" s="9"/>
      <c r="D6" s="9"/>
      <c r="E6" s="9"/>
      <c r="F6" s="9"/>
      <c r="G6" s="9"/>
      <c r="H6" s="9"/>
      <c r="I6" s="9"/>
      <c r="J6" s="9"/>
    </row>
    <row r="7" ht="30" customHeight="1" spans="2:10">
      <c r="B7" s="8"/>
      <c r="C7" s="9"/>
      <c r="D7" s="9"/>
      <c r="E7" s="9"/>
      <c r="F7" s="9"/>
      <c r="G7" s="9"/>
      <c r="H7" s="9"/>
      <c r="I7" s="9"/>
      <c r="J7" s="9"/>
    </row>
    <row r="8" ht="21" customHeight="1" spans="2:10">
      <c r="B8" s="8"/>
      <c r="C8" s="9"/>
      <c r="D8" s="9"/>
      <c r="E8" s="9"/>
      <c r="F8" s="9"/>
      <c r="G8" s="9"/>
      <c r="H8" s="9"/>
      <c r="I8" s="9"/>
      <c r="J8" s="9"/>
    </row>
    <row r="9" ht="21" customHeight="1" spans="2:10">
      <c r="B9" s="8"/>
      <c r="C9" s="9"/>
      <c r="D9" s="9"/>
      <c r="E9" s="9"/>
      <c r="F9" s="9"/>
      <c r="G9" s="9"/>
      <c r="H9" s="9"/>
      <c r="I9" s="9"/>
      <c r="J9" s="9"/>
    </row>
    <row r="10" ht="21" customHeight="1" spans="2:10">
      <c r="B10" s="8"/>
      <c r="C10" s="9"/>
      <c r="D10" s="9"/>
      <c r="E10" s="9"/>
      <c r="F10" s="9"/>
      <c r="G10" s="9"/>
      <c r="H10" s="9"/>
      <c r="I10" s="9"/>
      <c r="J10" s="9"/>
    </row>
    <row r="11" ht="21" customHeight="1" spans="2:10">
      <c r="B11" s="8"/>
      <c r="C11" s="9"/>
      <c r="D11" s="9"/>
      <c r="E11" s="9"/>
      <c r="F11" s="9"/>
      <c r="G11" s="9"/>
      <c r="H11" s="9"/>
      <c r="I11" s="9"/>
      <c r="J11" s="9"/>
    </row>
    <row r="12" ht="21" customHeight="1" spans="2:10">
      <c r="B12" s="8"/>
      <c r="C12" s="9"/>
      <c r="D12" s="9"/>
      <c r="E12" s="9"/>
      <c r="F12" s="9"/>
      <c r="G12" s="9"/>
      <c r="H12" s="9"/>
      <c r="I12" s="9"/>
      <c r="J12" s="9"/>
    </row>
    <row r="13" ht="21" customHeight="1" spans="2:10">
      <c r="B13" s="8"/>
      <c r="C13" s="9"/>
      <c r="D13" s="9"/>
      <c r="E13" s="9"/>
      <c r="F13" s="9"/>
      <c r="G13" s="9"/>
      <c r="H13" s="9"/>
      <c r="I13" s="9"/>
      <c r="J13" s="9"/>
    </row>
    <row r="14" ht="21" customHeight="1" spans="2:10">
      <c r="B14" s="8"/>
      <c r="C14" s="9"/>
      <c r="D14" s="9"/>
      <c r="E14" s="9"/>
      <c r="F14" s="9"/>
      <c r="G14" s="9"/>
      <c r="H14" s="9"/>
      <c r="I14" s="9"/>
      <c r="J14" s="9"/>
    </row>
    <row r="17" spans="2:2">
      <c r="B17" t="s">
        <v>442</v>
      </c>
    </row>
    <row r="18" ht="19" customHeight="1" spans="2:2">
      <c r="B18" t="s">
        <v>443</v>
      </c>
    </row>
    <row r="19" ht="19" customHeight="1" spans="2:2">
      <c r="B19" t="s">
        <v>444</v>
      </c>
    </row>
    <row r="20" ht="19" customHeight="1" spans="2:2">
      <c r="B20" t="s">
        <v>445</v>
      </c>
    </row>
    <row r="21" ht="19"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E39"/>
  <sheetViews>
    <sheetView workbookViewId="0">
      <selection activeCell="K9" sqref="K9:K10"/>
    </sheetView>
  </sheetViews>
  <sheetFormatPr defaultColWidth="9.02884615384615" defaultRowHeight="16.8"/>
  <cols>
    <col min="1" max="1" width="3.85576923076923" customWidth="1"/>
    <col min="2" max="2" width="13.875" customWidth="1"/>
    <col min="3" max="3" width="12.3461538461538" customWidth="1"/>
    <col min="4" max="4" width="11.5" customWidth="1"/>
    <col min="5" max="5" width="11.9423076923077" customWidth="1"/>
    <col min="6" max="6" width="12.0192307692308" customWidth="1"/>
    <col min="7" max="7" width="11.8846153846154" customWidth="1"/>
    <col min="8" max="8" width="12.2788461538462" customWidth="1"/>
    <col min="9" max="9" width="16.4711538461538" customWidth="1"/>
    <col min="10" max="10" width="14.2788461538462" customWidth="1"/>
    <col min="11" max="11" width="13.5384615384615" customWidth="1"/>
    <col min="12" max="13" width="14.4807692307692" customWidth="1"/>
    <col min="14" max="14" width="12.0865384615385" customWidth="1"/>
    <col min="15" max="15" width="13.1153846153846" customWidth="1"/>
    <col min="16" max="17" width="14.6153846153846" customWidth="1"/>
    <col min="18" max="18" width="13.0096153846154" customWidth="1"/>
    <col min="19" max="19" width="13.5384615384615" customWidth="1"/>
    <col min="20" max="20" width="15" customWidth="1"/>
    <col min="21" max="22" width="15.4326923076923" customWidth="1"/>
    <col min="23" max="23" width="14.8173076923077" customWidth="1"/>
    <col min="24" max="24" width="10.5096153846154" customWidth="1"/>
    <col min="25" max="25" width="18.9903846153846" customWidth="1"/>
    <col min="26" max="26" width="11.4903846153846" customWidth="1"/>
    <col min="27" max="27" width="9.5" customWidth="1"/>
    <col min="28" max="28" width="17" customWidth="1"/>
    <col min="29" max="29" width="18.0576923076923" customWidth="1"/>
    <col min="30" max="30" width="17.2692307692308" customWidth="1"/>
    <col min="31" max="31" width="17.6634615384615" customWidth="1"/>
    <col min="32" max="32" width="10.5096153846154" customWidth="1"/>
    <col min="33" max="33" width="18.5961538461538" customWidth="1"/>
    <col min="34" max="34" width="8.90384615384615" customWidth="1"/>
    <col min="35" max="35" width="17.8365384615385" customWidth="1"/>
  </cols>
  <sheetData>
    <row r="2" ht="30" customHeight="1"/>
    <row r="3" ht="30" customHeight="1" spans="2:31">
      <c r="B3" t="s">
        <v>446</v>
      </c>
      <c r="J3" s="127" t="s">
        <v>447</v>
      </c>
      <c r="K3" s="127" t="s">
        <v>448</v>
      </c>
      <c r="L3" s="127" t="s">
        <v>449</v>
      </c>
      <c r="M3" s="135" t="s">
        <v>450</v>
      </c>
      <c r="O3" s="127"/>
      <c r="P3" s="127"/>
      <c r="Q3" s="127"/>
      <c r="R3" s="127"/>
      <c r="S3" s="135"/>
    </row>
    <row r="4" ht="30" customHeight="1" spans="2:31">
      <c r="B4" s="8" t="s">
        <v>391</v>
      </c>
      <c r="C4" s="8" t="s">
        <v>451</v>
      </c>
      <c r="D4" s="8" t="s">
        <v>452</v>
      </c>
      <c r="E4" s="8" t="s">
        <v>453</v>
      </c>
      <c r="F4" s="8" t="s">
        <v>454</v>
      </c>
      <c r="G4" s="8" t="s">
        <v>455</v>
      </c>
      <c r="H4" s="8" t="s">
        <v>456</v>
      </c>
      <c r="I4" s="8" t="s">
        <v>457</v>
      </c>
      <c r="J4" s="8" t="s">
        <v>458</v>
      </c>
      <c r="K4" s="8" t="s">
        <v>459</v>
      </c>
      <c r="L4" s="8" t="s">
        <v>460</v>
      </c>
      <c r="M4" s="8" t="s">
        <v>461</v>
      </c>
      <c r="N4" s="8" t="s">
        <v>462</v>
      </c>
      <c r="O4" s="127"/>
      <c r="P4" s="127"/>
      <c r="Q4" s="127"/>
      <c r="R4" s="127"/>
      <c r="S4" s="135"/>
    </row>
    <row r="5" ht="30" customHeight="1" spans="2:31">
      <c r="B5" t="s">
        <v>463</v>
      </c>
      <c r="O5" s="127"/>
      <c r="P5" s="127"/>
      <c r="Q5" s="127"/>
      <c r="R5" s="127"/>
      <c r="S5" s="135"/>
    </row>
    <row r="6" ht="30" customHeight="1" spans="2:31">
      <c r="B6" t="s">
        <v>464</v>
      </c>
      <c r="O6" s="127" t="s">
        <v>465</v>
      </c>
      <c r="P6" s="127"/>
      <c r="Q6" s="127"/>
      <c r="R6" s="127"/>
      <c r="S6" s="135"/>
    </row>
    <row r="7" ht="40" customHeight="1" spans="2:31">
      <c r="B7" s="136" t="s">
        <v>466</v>
      </c>
      <c r="C7" s="136" t="s">
        <v>467</v>
      </c>
      <c r="D7" s="136" t="s">
        <v>468</v>
      </c>
      <c r="E7" s="136" t="s">
        <v>469</v>
      </c>
      <c r="F7" s="136" t="s">
        <v>452</v>
      </c>
      <c r="G7" s="137" t="s">
        <v>470</v>
      </c>
      <c r="H7" s="136" t="s">
        <v>471</v>
      </c>
      <c r="I7" s="136" t="s">
        <v>472</v>
      </c>
      <c r="J7" s="138" t="s">
        <v>473</v>
      </c>
      <c r="K7" s="139" t="s">
        <v>474</v>
      </c>
      <c r="L7" s="140" t="s">
        <v>475</v>
      </c>
      <c r="M7" s="141" t="s">
        <v>476</v>
      </c>
      <c r="N7" s="142" t="s">
        <v>477</v>
      </c>
      <c r="O7" s="142" t="s">
        <v>458</v>
      </c>
      <c r="P7" s="142" t="s">
        <v>459</v>
      </c>
      <c r="Q7" s="136" t="s">
        <v>478</v>
      </c>
      <c r="R7" s="143" t="s">
        <v>479</v>
      </c>
      <c r="S7" s="144" t="s">
        <v>460</v>
      </c>
      <c r="T7" s="145" t="s">
        <v>480</v>
      </c>
      <c r="U7" s="146" t="s">
        <v>481</v>
      </c>
      <c r="V7" s="144" t="s">
        <v>482</v>
      </c>
      <c r="W7" s="136" t="s">
        <v>483</v>
      </c>
      <c r="X7" s="144" t="s">
        <v>484</v>
      </c>
      <c r="Y7" s="144" t="s">
        <v>485</v>
      </c>
      <c r="Z7" s="147" t="s">
        <v>486</v>
      </c>
      <c r="AA7" s="143" t="s">
        <v>462</v>
      </c>
      <c r="AB7" s="144" t="s">
        <v>487</v>
      </c>
      <c r="AC7" s="144" t="s">
        <v>488</v>
      </c>
      <c r="AD7" s="144" t="s">
        <v>489</v>
      </c>
      <c r="AE7" s="144" t="s">
        <v>490</v>
      </c>
    </row>
    <row r="8" ht="18" customHeight="1" spans="2:31">
      <c r="B8" s="148"/>
      <c r="C8" s="148"/>
      <c r="D8" s="148"/>
      <c r="E8" s="148"/>
      <c r="F8" s="148" t="s">
        <v>491</v>
      </c>
      <c r="G8" s="148" t="s">
        <v>492</v>
      </c>
      <c r="H8" s="148" t="s">
        <v>493</v>
      </c>
      <c r="I8" s="148"/>
      <c r="J8" s="149"/>
      <c r="K8" s="148" t="s">
        <v>494</v>
      </c>
      <c r="L8" s="150"/>
      <c r="M8" s="150"/>
      <c r="N8" s="151"/>
      <c r="O8" s="151"/>
      <c r="P8" s="151"/>
      <c r="Q8" s="151"/>
      <c r="R8" s="152" t="s">
        <v>495</v>
      </c>
      <c r="S8" s="148" t="s">
        <v>496</v>
      </c>
      <c r="T8" s="148" t="s">
        <v>497</v>
      </c>
      <c r="U8" s="148" t="s">
        <v>498</v>
      </c>
      <c r="V8" s="149" t="s">
        <v>499</v>
      </c>
      <c r="W8" s="148" t="s">
        <v>500</v>
      </c>
      <c r="X8" s="148" t="s">
        <v>501</v>
      </c>
      <c r="Y8" s="148"/>
      <c r="Z8" s="148" t="s">
        <v>86</v>
      </c>
      <c r="AA8" s="148"/>
      <c r="AB8" s="153" t="s">
        <v>502</v>
      </c>
      <c r="AC8" s="153" t="s">
        <v>502</v>
      </c>
      <c r="AD8" s="153" t="s">
        <v>502</v>
      </c>
      <c r="AE8" s="153" t="s">
        <v>502</v>
      </c>
    </row>
    <row r="9" ht="18" customHeight="1" spans="2:31">
      <c r="B9" s="148"/>
      <c r="C9" s="148"/>
      <c r="D9" s="148"/>
      <c r="E9" s="148"/>
      <c r="F9" s="148"/>
      <c r="G9" s="148" t="s">
        <v>503</v>
      </c>
      <c r="H9" s="148" t="s">
        <v>504</v>
      </c>
      <c r="I9" s="148"/>
      <c r="J9" s="149"/>
      <c r="K9" s="148" t="s">
        <v>505</v>
      </c>
      <c r="L9" s="150"/>
      <c r="M9" s="150"/>
      <c r="N9" s="151"/>
      <c r="O9" s="151"/>
      <c r="P9" s="151"/>
      <c r="Q9" s="151"/>
      <c r="R9" s="152" t="s">
        <v>506</v>
      </c>
      <c r="S9" s="148" t="s">
        <v>507</v>
      </c>
      <c r="T9" s="148" t="s">
        <v>508</v>
      </c>
      <c r="U9" s="148" t="s">
        <v>509</v>
      </c>
      <c r="V9" s="149" t="s">
        <v>510</v>
      </c>
      <c r="W9" s="148" t="s">
        <v>511</v>
      </c>
      <c r="X9" s="148" t="s">
        <v>512</v>
      </c>
      <c r="Y9" s="148"/>
      <c r="Z9" s="148" t="s">
        <v>513</v>
      </c>
      <c r="AA9" s="148"/>
      <c r="AB9" s="154"/>
      <c r="AC9" s="9"/>
      <c r="AD9" s="9"/>
      <c r="AE9" s="9"/>
    </row>
    <row r="10" ht="18" customHeight="1" spans="2:31">
      <c r="B10" s="148"/>
      <c r="C10" s="148"/>
      <c r="D10" s="148"/>
      <c r="E10" s="148"/>
      <c r="F10" s="148"/>
      <c r="G10" s="148" t="s">
        <v>514</v>
      </c>
      <c r="H10" s="148" t="s">
        <v>515</v>
      </c>
      <c r="I10" s="148"/>
      <c r="J10" s="149"/>
      <c r="K10" s="155" t="s">
        <v>516</v>
      </c>
      <c r="L10" s="150"/>
      <c r="M10" s="150"/>
      <c r="N10" s="151"/>
      <c r="O10" s="151"/>
      <c r="P10" s="151"/>
      <c r="Q10" s="151"/>
      <c r="R10" s="156" t="s">
        <v>517</v>
      </c>
      <c r="S10" s="148" t="s">
        <v>518</v>
      </c>
      <c r="T10" s="148"/>
      <c r="U10" s="148"/>
      <c r="V10" s="149" t="s">
        <v>519</v>
      </c>
      <c r="W10" s="148" t="s">
        <v>520</v>
      </c>
      <c r="X10" s="148" t="s">
        <v>521</v>
      </c>
      <c r="Y10" s="148"/>
      <c r="Z10" s="148" t="s">
        <v>522</v>
      </c>
      <c r="AA10" s="148"/>
      <c r="AB10" s="154"/>
      <c r="AC10" s="9"/>
      <c r="AD10" s="9"/>
      <c r="AE10" s="9"/>
    </row>
    <row r="11" ht="18" customHeight="1" spans="2:31">
      <c r="B11" s="148"/>
      <c r="C11" s="148"/>
      <c r="D11" s="148"/>
      <c r="E11" s="148"/>
      <c r="F11" s="148"/>
      <c r="G11" s="148"/>
      <c r="H11" s="148" t="s">
        <v>523</v>
      </c>
      <c r="I11" s="148"/>
      <c r="J11" s="149"/>
      <c r="K11" s="148"/>
      <c r="L11" s="150"/>
      <c r="M11" s="150"/>
      <c r="N11" s="151"/>
      <c r="O11" s="151"/>
      <c r="P11" s="151"/>
      <c r="Q11" s="151"/>
      <c r="R11" s="156" t="s">
        <v>396</v>
      </c>
      <c r="S11" s="148"/>
      <c r="T11" s="148"/>
      <c r="U11" s="148"/>
      <c r="V11" s="149" t="s">
        <v>524</v>
      </c>
      <c r="W11" s="148" t="s">
        <v>525</v>
      </c>
      <c r="X11" s="148"/>
      <c r="Y11" s="148"/>
      <c r="Z11" s="148" t="s">
        <v>526</v>
      </c>
      <c r="AA11" s="148"/>
      <c r="AB11" s="154"/>
      <c r="AC11" s="9"/>
      <c r="AD11" s="9"/>
      <c r="AE11" s="9"/>
    </row>
    <row r="12" ht="18" customHeight="1" spans="2:31">
      <c r="B12" s="148"/>
      <c r="C12" s="148"/>
      <c r="D12" s="148"/>
      <c r="E12" s="148"/>
      <c r="F12" s="148"/>
      <c r="G12" s="148"/>
      <c r="H12" s="148"/>
      <c r="I12" s="148"/>
      <c r="J12" s="149"/>
      <c r="K12" s="148"/>
      <c r="L12" s="150"/>
      <c r="M12" s="150"/>
      <c r="N12" s="151"/>
      <c r="O12" s="151"/>
      <c r="P12" s="151"/>
      <c r="Q12" s="151"/>
      <c r="R12" s="156"/>
      <c r="S12" s="148"/>
      <c r="T12" s="148"/>
      <c r="U12" s="148"/>
      <c r="V12" s="149" t="s">
        <v>527</v>
      </c>
      <c r="W12" s="148" t="s">
        <v>528</v>
      </c>
      <c r="X12" s="148"/>
      <c r="Y12" s="148"/>
      <c r="Z12" s="149"/>
      <c r="AA12" s="148"/>
      <c r="AB12" s="154"/>
      <c r="AC12" s="9"/>
      <c r="AD12" s="9"/>
      <c r="AE12" s="9"/>
    </row>
    <row r="13" ht="18" customHeight="1" spans="2:31">
      <c r="B13" s="148"/>
      <c r="C13" s="148"/>
      <c r="D13" s="148"/>
      <c r="E13" s="148"/>
      <c r="F13" s="148"/>
      <c r="G13" s="148"/>
      <c r="H13" s="148"/>
      <c r="I13" s="148"/>
      <c r="J13" s="149"/>
      <c r="K13" s="148"/>
      <c r="L13" s="150"/>
      <c r="M13" s="150"/>
      <c r="N13" s="151"/>
      <c r="O13" s="151"/>
      <c r="P13" s="151"/>
      <c r="Q13" s="151"/>
      <c r="R13" s="156"/>
      <c r="S13" s="148"/>
      <c r="T13" s="148"/>
      <c r="U13" s="148"/>
      <c r="V13" s="149"/>
      <c r="W13" s="148"/>
      <c r="X13" s="148"/>
      <c r="Y13" s="148"/>
      <c r="Z13" s="157"/>
      <c r="AA13" s="148"/>
      <c r="AB13" s="154"/>
      <c r="AC13" s="9"/>
      <c r="AD13" s="9"/>
      <c r="AE13" s="9"/>
    </row>
    <row r="14" ht="18" customHeight="1" spans="2:31">
      <c r="B14" s="148"/>
      <c r="C14" s="148"/>
      <c r="D14" s="148"/>
      <c r="E14" s="148"/>
      <c r="F14" s="148"/>
      <c r="G14" s="148"/>
      <c r="H14" s="148"/>
      <c r="I14" s="148"/>
      <c r="J14" s="149"/>
      <c r="K14" s="148"/>
      <c r="L14" s="150"/>
      <c r="M14" s="150"/>
      <c r="N14" s="151"/>
      <c r="O14" s="151"/>
      <c r="P14" s="151"/>
      <c r="Q14" s="151"/>
      <c r="R14" s="156"/>
      <c r="S14" s="148"/>
      <c r="T14" s="148"/>
      <c r="U14" s="148"/>
      <c r="V14" s="149"/>
      <c r="W14" s="148"/>
      <c r="X14" s="148"/>
      <c r="Y14" s="148"/>
      <c r="Z14" s="157"/>
      <c r="AA14" s="148"/>
      <c r="AB14" s="154"/>
      <c r="AC14" s="9"/>
      <c r="AD14" s="9"/>
      <c r="AE14" s="9"/>
    </row>
    <row r="15" ht="18" customHeight="1" spans="2:31">
      <c r="B15" s="148"/>
      <c r="C15" s="148"/>
      <c r="D15" s="148"/>
      <c r="E15" s="148"/>
      <c r="F15" s="148"/>
      <c r="G15" s="148"/>
      <c r="H15" s="148"/>
      <c r="I15" s="148"/>
      <c r="J15" s="149"/>
      <c r="K15" s="148"/>
      <c r="L15" s="150"/>
      <c r="M15" s="150"/>
      <c r="N15" s="151"/>
      <c r="O15" s="151"/>
      <c r="P15" s="151"/>
      <c r="Q15" s="151"/>
      <c r="R15" s="156"/>
      <c r="S15" s="148"/>
      <c r="T15" s="148"/>
      <c r="U15" s="148"/>
      <c r="V15" s="149"/>
      <c r="W15" s="148"/>
      <c r="X15" s="148"/>
      <c r="Y15" s="148"/>
      <c r="Z15" s="157"/>
      <c r="AA15" s="148"/>
      <c r="AB15" s="154"/>
      <c r="AC15" s="9"/>
      <c r="AD15" s="9"/>
      <c r="AE15" s="9"/>
    </row>
    <row r="18" ht="18" customHeight="1" spans="2:16">
      <c r="B18" t="s">
        <v>442</v>
      </c>
      <c r="L18" t="s">
        <v>529</v>
      </c>
      <c r="M18" t="s">
        <v>76</v>
      </c>
      <c r="P18" t="s">
        <v>530</v>
      </c>
    </row>
    <row r="19" ht="18" customHeight="1" spans="2:16">
      <c r="B19" t="s">
        <v>531</v>
      </c>
      <c r="P19" t="s">
        <v>532</v>
      </c>
    </row>
    <row r="20" ht="18" customHeight="1" spans="2:16">
      <c r="B20" t="s">
        <v>533</v>
      </c>
      <c r="L20" t="s">
        <v>534</v>
      </c>
      <c r="M20" t="s">
        <v>535</v>
      </c>
      <c r="P20" t="s">
        <v>536</v>
      </c>
    </row>
    <row r="21" ht="18" customHeight="1" spans="2:16">
      <c r="B21" t="s">
        <v>537</v>
      </c>
      <c r="P21" t="s">
        <v>538</v>
      </c>
    </row>
    <row r="22" ht="18" customHeight="1" spans="2:16">
      <c r="B22" t="s">
        <v>539</v>
      </c>
      <c r="L22" t="s">
        <v>540</v>
      </c>
      <c r="M22" t="s">
        <v>541</v>
      </c>
      <c r="P22" t="s">
        <v>542</v>
      </c>
    </row>
    <row r="23" ht="18" customHeight="1" spans="2:16">
      <c r="B23" t="s">
        <v>543</v>
      </c>
      <c r="P23" t="s">
        <v>544</v>
      </c>
    </row>
    <row r="24" ht="22" customHeight="1" spans="2:16">
      <c r="B24" t="s">
        <v>545</v>
      </c>
      <c r="P24" t="s">
        <v>429</v>
      </c>
    </row>
    <row r="25" ht="22" customHeight="1" spans="2:16">
      <c r="B25" t="s">
        <v>546</v>
      </c>
    </row>
    <row r="26" ht="22" customHeight="1" spans="2:16">
      <c r="B26" t="s">
        <v>547</v>
      </c>
    </row>
    <row r="27" ht="22" customHeight="1" spans="2:16">
      <c r="B27" s="158" t="s">
        <v>548</v>
      </c>
    </row>
    <row r="28" ht="18" customHeight="1" spans="2:16">
      <c r="B28" t="s">
        <v>549</v>
      </c>
    </row>
    <row r="29" ht="18" customHeight="1" spans="2:16">
      <c r="B29" t="s">
        <v>550</v>
      </c>
    </row>
    <row r="30" ht="18" customHeight="1" spans="2:16">
      <c r="B30" t="s">
        <v>551</v>
      </c>
    </row>
    <row r="31" ht="18" customHeight="1" spans="2:16">
      <c r="B31" t="s">
        <v>552</v>
      </c>
    </row>
    <row r="32" ht="23" customHeight="1" spans="2:16">
      <c r="B32" t="s">
        <v>553</v>
      </c>
    </row>
    <row r="33" ht="20" customHeight="1" spans="2:2">
      <c r="B33" t="s">
        <v>554</v>
      </c>
    </row>
    <row r="34" ht="19" customHeight="1" spans="2:2">
      <c r="B34" t="s">
        <v>555</v>
      </c>
    </row>
    <row r="35" ht="22" customHeight="1" spans="2:2">
      <c r="B35" s="158" t="s">
        <v>556</v>
      </c>
    </row>
    <row r="36" ht="21" customHeight="1" spans="2:2">
      <c r="B36" s="158" t="s">
        <v>557</v>
      </c>
    </row>
    <row r="37" ht="19" customHeight="1" spans="2:2">
      <c r="B37" t="s">
        <v>558</v>
      </c>
    </row>
    <row r="38" ht="22" customHeight="1" spans="2:2">
      <c r="B38" t="s">
        <v>559</v>
      </c>
    </row>
    <row r="39" ht="22" customHeight="1"/>
  </sheetData>
  <dataValidations count="17">
    <dataValidation type="textLength" operator="between" allowBlank="1" showInputMessage="1" showErrorMessage="1" sqref="B7 B8:F15">
      <formula1>0</formula1>
      <formula2>40</formula2>
    </dataValidation>
    <dataValidation type="textLength" operator="between" allowBlank="1" showInputMessage="1" showErrorMessage="1" error="最大输入200字" sqref="J7:K7 R7 Z7:AA7 Z12 J8:J15">
      <formula1>0</formula1>
      <formula2>200</formula2>
    </dataValidation>
    <dataValidation type="list" allowBlank="1" showInputMessage="1" showErrorMessage="1" sqref="G8:G10">
      <formula1>"已立项,研发中,已结项"</formula1>
    </dataValidation>
    <dataValidation type="list" allowBlank="1" showInputMessage="1" showErrorMessage="1" sqref="G11:G15">
      <formula1>"立项,研发中,已结项"</formula1>
    </dataValidation>
    <dataValidation type="list" allowBlank="1" showInputMessage="1" showErrorMessage="1" sqref="H8:H15">
      <formula1>"自主研发,委托研发,合作研发,集中研发"</formula1>
    </dataValidation>
    <dataValidation type="textLength" operator="between" allowBlank="1" showInputMessage="1" showErrorMessage="1" error="最大输入1000字" sqref="I7:I15">
      <formula1>0</formula1>
      <formula2>1000</formula2>
    </dataValidation>
    <dataValidation type="list" allowBlank="1" showInputMessage="1" showErrorMessage="1" sqref="K8:K15">
      <formula1>"费用化,资本化,混合型"</formula1>
    </dataValidation>
    <dataValidation type="list" allowBlank="1" showInputMessage="1" showErrorMessage="1" sqref="S8:S15">
      <formula1>"未完成,已完成-研发成功,已完成-研发失败"</formula1>
    </dataValidation>
    <dataValidation type="list" allowBlank="1" showInputMessage="1" showErrorMessage="1" sqref="T8:T15">
      <formula1>"不存在,存在"</formula1>
    </dataValidation>
    <dataValidation type="list" allowBlank="1" showInputMessage="1" showErrorMessage="1" sqref="U8:U15">
      <formula1>"委托境内,委托境外"</formula1>
    </dataValidation>
    <dataValidation type="list" allowBlank="1" showInputMessage="1" showErrorMessage="1" sqref="V8:V15">
      <formula1>"基础研究,应用研究,试验发展,成果应用,科技服务"</formula1>
    </dataValidation>
    <dataValidation type="list" allowBlank="1" showInputMessage="1" showErrorMessage="1" sqref="W8:W15">
      <formula1>"自选项目,政府科技项目,外部委托项目,境外项目,其他项目"</formula1>
    </dataValidation>
    <dataValidation type="list" allowBlank="1" showInputMessage="1" showErrorMessage="1" sqref="X8:X15">
      <formula1>"市级,省级,国家级"</formula1>
    </dataValidation>
    <dataValidation type="list" allowBlank="1" showInputMessage="1" showErrorMessage="1" sqref="Z8:Z11">
      <formula1>"加计扣除,高新认定,IPO上市,其他用途"</formula1>
    </dataValidation>
    <dataValidation type="decimal" operator="between" showInputMessage="1" showErrorMessage="1" errorTitle="错误信息" error="请输入有效数字" sqref="L8:M15">
      <formula1>0</formula1>
      <formula2>9999999999999</formula2>
    </dataValidation>
    <dataValidation type="date" operator="between" allowBlank="1" showInputMessage="1" showErrorMessage="1" error="请输入正确的时间" sqref="N8:O15">
      <formula1>1000</formula1>
      <formula2>999999</formula2>
    </dataValidation>
    <dataValidation type="date" operator="between" allowBlank="1" showInputMessage="1" showErrorMessage="1" error="请输入正确的时间" sqref="P8:Q15">
      <formula1>1000</formula1>
      <formula2>99999</formula2>
    </dataValidation>
  </dataValidations>
  <hyperlinks>
    <hyperlink ref="M3" location="资本化结转!A1" display="资本化结转"/>
  </hyperlink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17"/>
  <sheetViews>
    <sheetView tabSelected="1" workbookViewId="0">
      <selection activeCell="F28" sqref="F28"/>
    </sheetView>
  </sheetViews>
  <sheetFormatPr defaultColWidth="9.02884615384615" defaultRowHeight="16.8"/>
  <cols>
    <col min="2" max="2" width="13.2211538461538" customWidth="1"/>
    <col min="3" max="3" width="14.875" customWidth="1"/>
    <col min="4" max="4" width="17.7980769230769" customWidth="1"/>
    <col min="5" max="6" width="14.875" customWidth="1"/>
    <col min="7" max="7" width="12.6153846153846" customWidth="1"/>
    <col min="8" max="8" width="12.8846153846154" customWidth="1"/>
    <col min="9" max="12" width="14.875" customWidth="1"/>
    <col min="13" max="13" width="17.0673076923077" customWidth="1"/>
    <col min="14" max="14" width="17" customWidth="1"/>
    <col min="15" max="15" width="20.5096153846154" customWidth="1"/>
    <col min="16" max="16" width="15.7307692307692" customWidth="1"/>
    <col min="17" max="17" width="19.9134615384615" customWidth="1"/>
    <col min="18" max="18" width="14.875" customWidth="1"/>
  </cols>
  <sheetData>
    <row r="2" ht="18" spans="2:18">
      <c r="B2" s="1" t="s">
        <v>466</v>
      </c>
      <c r="C2" s="1" t="s">
        <v>560</v>
      </c>
      <c r="D2" s="1" t="s">
        <v>561</v>
      </c>
      <c r="E2" s="2" t="s">
        <v>562</v>
      </c>
      <c r="F2" s="1" t="s">
        <v>563</v>
      </c>
      <c r="G2" s="3" t="s">
        <v>564</v>
      </c>
      <c r="H2" s="3" t="s">
        <v>565</v>
      </c>
      <c r="I2" s="1" t="s">
        <v>566</v>
      </c>
      <c r="J2" s="1" t="s">
        <v>567</v>
      </c>
      <c r="K2" s="1" t="s">
        <v>568</v>
      </c>
      <c r="L2" s="1" t="s">
        <v>569</v>
      </c>
      <c r="M2" s="1" t="s">
        <v>570</v>
      </c>
      <c r="N2" s="1" t="s">
        <v>571</v>
      </c>
      <c r="O2" s="2" t="s">
        <v>572</v>
      </c>
      <c r="P2" s="2" t="s">
        <v>573</v>
      </c>
      <c r="Q2" s="2" t="s">
        <v>574</v>
      </c>
      <c r="R2" s="3" t="s">
        <v>3</v>
      </c>
    </row>
    <row r="3" ht="19" customHeight="1" spans="2:18">
      <c r="B3" s="4"/>
      <c r="C3" s="4"/>
      <c r="D3" s="4"/>
      <c r="E3" s="4"/>
      <c r="F3" s="5"/>
      <c r="G3" s="4"/>
      <c r="H3" s="4"/>
      <c r="I3" s="4"/>
      <c r="J3" s="4"/>
      <c r="K3" s="4"/>
      <c r="L3" s="4"/>
      <c r="M3" s="4" t="s">
        <v>575</v>
      </c>
      <c r="N3" s="4"/>
      <c r="O3" s="4"/>
      <c r="P3" s="4"/>
      <c r="Q3" s="4"/>
      <c r="R3" s="6"/>
    </row>
    <row r="4" ht="19" customHeight="1" spans="2:18">
      <c r="B4" s="4"/>
      <c r="C4" s="4"/>
      <c r="D4" s="4"/>
      <c r="E4" s="4"/>
      <c r="F4" s="5"/>
      <c r="G4" s="4"/>
      <c r="H4" s="4"/>
      <c r="I4" s="4"/>
      <c r="J4" s="4"/>
      <c r="K4" s="4"/>
      <c r="L4" s="4"/>
      <c r="M4" s="4" t="s">
        <v>576</v>
      </c>
      <c r="N4" s="4"/>
      <c r="O4" s="4"/>
      <c r="P4" s="4"/>
      <c r="Q4" s="4"/>
      <c r="R4" s="6"/>
    </row>
    <row r="5" ht="19" customHeight="1" spans="2:18">
      <c r="B5" s="4"/>
      <c r="C5" s="4"/>
      <c r="D5" s="4"/>
      <c r="E5" s="4"/>
      <c r="F5" s="5"/>
      <c r="G5" s="4"/>
      <c r="H5" s="4"/>
      <c r="I5" s="4"/>
      <c r="J5" s="4"/>
      <c r="K5" s="4"/>
      <c r="L5" s="4"/>
      <c r="M5" s="4" t="s">
        <v>577</v>
      </c>
      <c r="N5" s="4"/>
      <c r="O5" s="4"/>
      <c r="P5" s="4"/>
      <c r="Q5" s="4"/>
      <c r="R5" s="6"/>
    </row>
    <row r="6" ht="19" customHeight="1" spans="2:18">
      <c r="B6" s="4"/>
      <c r="C6" s="4"/>
      <c r="D6" s="4"/>
      <c r="E6" s="4"/>
      <c r="F6" s="5"/>
      <c r="G6" s="4"/>
      <c r="H6" s="4"/>
      <c r="I6" s="4"/>
      <c r="J6" s="4"/>
      <c r="K6" s="4"/>
      <c r="L6" s="4"/>
      <c r="M6" s="4" t="s">
        <v>578</v>
      </c>
      <c r="N6" s="4"/>
      <c r="O6" s="4"/>
      <c r="P6" s="4"/>
      <c r="Q6" s="4"/>
      <c r="R6" s="6"/>
    </row>
    <row r="7" ht="19" customHeight="1" spans="2:18">
      <c r="B7" s="4"/>
      <c r="C7" s="4"/>
      <c r="D7" s="4"/>
      <c r="E7" s="4"/>
      <c r="F7" s="5"/>
      <c r="G7" s="4"/>
      <c r="H7" s="4"/>
      <c r="I7" s="4"/>
      <c r="J7" s="4"/>
      <c r="K7" s="4"/>
      <c r="L7" s="4"/>
      <c r="M7" s="4"/>
      <c r="N7" s="4"/>
      <c r="O7" s="4"/>
      <c r="P7" s="4"/>
      <c r="Q7" s="4"/>
      <c r="R7" s="6"/>
    </row>
    <row r="8" ht="19" customHeight="1" spans="2:18">
      <c r="B8" s="4"/>
      <c r="C8" s="4"/>
      <c r="D8" s="4"/>
      <c r="E8" s="4"/>
      <c r="F8" s="5"/>
      <c r="G8" s="4"/>
      <c r="H8" s="4"/>
      <c r="I8" s="4"/>
      <c r="J8" s="4"/>
      <c r="K8" s="4"/>
      <c r="L8" s="4"/>
      <c r="M8" s="4"/>
      <c r="N8" s="4"/>
      <c r="O8" s="4"/>
      <c r="P8" s="4"/>
      <c r="Q8" s="4"/>
      <c r="R8" s="6"/>
    </row>
    <row r="9" ht="19" customHeight="1" spans="2:18">
      <c r="B9" s="4"/>
      <c r="C9" s="4"/>
      <c r="D9" s="4"/>
      <c r="E9" s="4"/>
      <c r="F9" s="5"/>
      <c r="G9" s="4"/>
      <c r="H9" s="4"/>
      <c r="I9" s="4"/>
      <c r="J9" s="4"/>
      <c r="K9" s="4"/>
      <c r="L9" s="4"/>
      <c r="M9" s="4"/>
      <c r="N9" s="4"/>
      <c r="O9" s="4"/>
      <c r="P9" s="4"/>
      <c r="Q9" s="4"/>
      <c r="R9" s="6"/>
    </row>
    <row r="12" ht="18" customHeight="1" spans="2:18">
      <c r="B12" t="s">
        <v>442</v>
      </c>
    </row>
    <row r="13" ht="18" customHeight="1" spans="2:18">
      <c r="B13" t="s">
        <v>579</v>
      </c>
    </row>
    <row r="14" ht="18" customHeight="1"/>
    <row r="15" ht="18" customHeight="1"/>
    <row r="16" ht="18" customHeight="1"/>
    <row r="17" ht="18" customHeight="1"/>
  </sheetData>
  <dataValidations count="2">
    <dataValidation type="textLength" operator="between" allowBlank="1" showInputMessage="1" showErrorMessage="1" sqref="F3:F9">
      <formula1>15</formula1>
      <formula2>18</formula2>
    </dataValidation>
    <dataValidation type="textLength" operator="between" allowBlank="1" showInputMessage="1" showErrorMessage="1" error="最大长度不超过20" sqref="B3:E9">
      <formula1>2</formula1>
      <formula2>20</formula2>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Q55"/>
  <sheetViews>
    <sheetView workbookViewId="0">
      <selection activeCell="M7" sqref="M7"/>
    </sheetView>
  </sheetViews>
  <sheetFormatPr defaultColWidth="9.02884615384615" defaultRowHeight="16.8"/>
  <cols>
    <col min="1" max="2" width="3.05769230769231" customWidth="1"/>
    <col min="3" max="3" width="13.0192307692308" customWidth="1"/>
    <col min="4" max="4" width="11.6153846153846" customWidth="1"/>
    <col min="5" max="5" width="8.09615384615385" customWidth="1"/>
    <col min="6" max="6" width="19.2596153846154" customWidth="1"/>
    <col min="7" max="12" width="11.6153846153846" customWidth="1"/>
    <col min="13" max="13" width="14.1442307692308" customWidth="1"/>
    <col min="14" max="15" width="14.0769230769231" customWidth="1"/>
    <col min="16" max="16" width="23.0961538461538" customWidth="1"/>
    <col min="17" max="17" width="18.5961538461538" customWidth="1"/>
  </cols>
  <sheetData>
    <row r="2" ht="18" spans="3:17">
      <c r="C2" s="1" t="s">
        <v>580</v>
      </c>
      <c r="D2" s="1" t="s">
        <v>581</v>
      </c>
      <c r="E2" s="1" t="s">
        <v>582</v>
      </c>
      <c r="F2" s="1" t="s">
        <v>583</v>
      </c>
      <c r="G2" s="1" t="s">
        <v>584</v>
      </c>
      <c r="H2" s="1" t="s">
        <v>585</v>
      </c>
      <c r="I2" s="1" t="s">
        <v>586</v>
      </c>
      <c r="J2" s="1" t="s">
        <v>587</v>
      </c>
      <c r="K2" s="1" t="s">
        <v>588</v>
      </c>
      <c r="L2" s="1" t="s">
        <v>589</v>
      </c>
      <c r="M2" s="2" t="s">
        <v>590</v>
      </c>
      <c r="N2" s="2" t="s">
        <v>591</v>
      </c>
      <c r="O2" s="2" t="s">
        <v>592</v>
      </c>
      <c r="P2" s="2" t="s">
        <v>593</v>
      </c>
      <c r="Q2" s="3" t="s">
        <v>3</v>
      </c>
    </row>
    <row r="3" ht="17.6" spans="3:17">
      <c r="C3" s="4"/>
      <c r="D3" s="4"/>
      <c r="E3" s="4"/>
      <c r="F3" s="5"/>
      <c r="G3" s="6"/>
      <c r="H3" s="4"/>
      <c r="I3" s="4"/>
      <c r="J3" s="4"/>
      <c r="K3" s="6"/>
      <c r="L3" s="6"/>
      <c r="M3" s="6"/>
      <c r="N3" s="6"/>
      <c r="O3" s="6"/>
      <c r="P3" s="134" t="s">
        <v>594</v>
      </c>
      <c r="Q3" s="6"/>
    </row>
    <row r="4" ht="17.6" spans="3:17">
      <c r="C4" s="4"/>
      <c r="D4" s="4"/>
      <c r="E4" s="4"/>
      <c r="F4" s="5"/>
      <c r="G4" s="6"/>
      <c r="H4" s="4"/>
      <c r="I4" s="4"/>
      <c r="J4" s="4"/>
      <c r="K4" s="6"/>
      <c r="L4" s="6"/>
      <c r="M4" s="6"/>
      <c r="N4" s="6"/>
      <c r="O4" s="6"/>
      <c r="P4" s="4"/>
      <c r="Q4" s="6"/>
    </row>
    <row r="5" ht="17.6" spans="3:17">
      <c r="C5" s="4"/>
      <c r="D5" s="4"/>
      <c r="E5" s="4"/>
      <c r="F5" s="5"/>
      <c r="G5" s="6"/>
      <c r="H5" s="4"/>
      <c r="I5" s="4"/>
      <c r="J5" s="4"/>
      <c r="K5" s="6"/>
      <c r="L5" s="6"/>
      <c r="M5" s="6"/>
      <c r="N5" s="6"/>
      <c r="O5" s="6"/>
      <c r="P5" s="4"/>
      <c r="Q5" s="6"/>
    </row>
    <row r="6" ht="17.6" spans="3:17">
      <c r="C6" s="4"/>
      <c r="D6" s="4"/>
      <c r="E6" s="4"/>
      <c r="F6" s="5"/>
      <c r="G6" s="6"/>
      <c r="H6" s="4"/>
      <c r="I6" s="4"/>
      <c r="J6" s="4"/>
      <c r="K6" s="6"/>
      <c r="L6" s="6"/>
      <c r="M6" s="6"/>
      <c r="N6" s="6"/>
      <c r="O6" s="6"/>
      <c r="P6" s="4"/>
      <c r="Q6" s="6"/>
    </row>
    <row r="7" ht="17.6" spans="3:17">
      <c r="C7" s="4"/>
      <c r="D7" s="4"/>
      <c r="E7" s="4"/>
      <c r="F7" s="5"/>
      <c r="G7" s="6"/>
      <c r="H7" s="4"/>
      <c r="I7" s="4"/>
      <c r="J7" s="4"/>
      <c r="K7" s="6"/>
      <c r="L7" s="6"/>
      <c r="M7" s="6"/>
      <c r="N7" s="6"/>
      <c r="O7" s="6"/>
      <c r="P7" s="4"/>
      <c r="Q7" s="6"/>
    </row>
    <row r="8" ht="17.6" spans="3:17">
      <c r="C8" s="4"/>
      <c r="D8" s="4"/>
      <c r="E8" s="4"/>
      <c r="F8" s="5"/>
      <c r="G8" s="6"/>
      <c r="H8" s="4"/>
      <c r="I8" s="4"/>
      <c r="J8" s="4"/>
      <c r="K8" s="6"/>
      <c r="L8" s="6"/>
      <c r="M8" s="6"/>
      <c r="N8" s="6"/>
      <c r="O8" s="6"/>
      <c r="P8" s="4"/>
      <c r="Q8" s="6"/>
    </row>
    <row r="9" ht="17.6" spans="3:17">
      <c r="C9" s="4"/>
      <c r="D9" s="4"/>
      <c r="E9" s="4"/>
      <c r="F9" s="5"/>
      <c r="G9" s="6"/>
      <c r="H9" s="4"/>
      <c r="I9" s="4"/>
      <c r="J9" s="4"/>
      <c r="K9" s="6"/>
      <c r="L9" s="6"/>
      <c r="M9" s="6"/>
      <c r="N9" s="6"/>
      <c r="O9" s="6"/>
      <c r="P9" s="4"/>
      <c r="Q9" s="6"/>
    </row>
    <row r="11" ht="18" customHeight="1" spans="3:17">
      <c r="C11" t="s">
        <v>442</v>
      </c>
    </row>
    <row r="12" ht="24" customHeight="1" spans="3:17">
      <c r="C12" t="s">
        <v>595</v>
      </c>
    </row>
    <row r="13" ht="24" customHeight="1" spans="3:17">
      <c r="C13" t="s">
        <v>596</v>
      </c>
    </row>
    <row r="14" ht="24" customHeight="1" spans="3:17">
      <c r="C14" t="s">
        <v>597</v>
      </c>
    </row>
    <row r="15" ht="24" customHeight="1" spans="3:17">
      <c r="C15" t="s">
        <v>598</v>
      </c>
      <c r="I15" t="s">
        <v>599</v>
      </c>
      <c r="J15" t="s">
        <v>600</v>
      </c>
    </row>
    <row r="16" ht="24" customHeight="1" spans="3:17">
      <c r="C16" t="s">
        <v>601</v>
      </c>
      <c r="I16" t="s">
        <v>602</v>
      </c>
      <c r="J16" t="s">
        <v>603</v>
      </c>
    </row>
    <row r="17" ht="18" customHeight="1" spans="9:10">
      <c r="I17" t="s">
        <v>604</v>
      </c>
      <c r="J17" t="s">
        <v>605</v>
      </c>
    </row>
    <row r="18" ht="18" customHeight="1" spans="9:10">
      <c r="I18" t="s">
        <v>606</v>
      </c>
      <c r="J18" t="s">
        <v>607</v>
      </c>
    </row>
    <row r="19" ht="18" customHeight="1" spans="9:10">
      <c r="I19" t="s">
        <v>608</v>
      </c>
      <c r="J19" t="s">
        <v>609</v>
      </c>
    </row>
    <row r="20" ht="18" customHeight="1" spans="9:10">
      <c r="I20" t="s">
        <v>610</v>
      </c>
      <c r="J20" t="s">
        <v>603</v>
      </c>
    </row>
    <row r="21" ht="21" customHeight="1" spans="9:10">
      <c r="I21" t="s">
        <v>611</v>
      </c>
      <c r="J21" t="s">
        <v>605</v>
      </c>
    </row>
    <row r="22" ht="21" customHeight="1" spans="9:10">
      <c r="I22" t="s">
        <v>612</v>
      </c>
      <c r="J22" t="s">
        <v>607</v>
      </c>
    </row>
    <row r="23" ht="21" customHeight="1" spans="9:10">
      <c r="I23" t="s">
        <v>613</v>
      </c>
      <c r="J23" t="s">
        <v>609</v>
      </c>
    </row>
    <row r="24" ht="21" customHeight="1" spans="9:10">
      <c r="I24" t="s">
        <v>614</v>
      </c>
      <c r="J24" t="s">
        <v>603</v>
      </c>
    </row>
    <row r="25" ht="21" customHeight="1" spans="9:10">
      <c r="I25" t="s">
        <v>615</v>
      </c>
      <c r="J25" t="s">
        <v>605</v>
      </c>
    </row>
    <row r="26" ht="21" customHeight="1" spans="9:10">
      <c r="I26" t="s">
        <v>616</v>
      </c>
      <c r="J26" t="s">
        <v>607</v>
      </c>
    </row>
    <row r="27" ht="21" customHeight="1" spans="9:10">
      <c r="I27" t="s">
        <v>617</v>
      </c>
      <c r="J27" t="s">
        <v>609</v>
      </c>
    </row>
    <row r="28" ht="21" customHeight="1" spans="9:10">
      <c r="I28" t="s">
        <v>618</v>
      </c>
      <c r="J28" t="s">
        <v>619</v>
      </c>
    </row>
    <row r="29" ht="21" customHeight="1" spans="9:10">
      <c r="I29" t="s">
        <v>620</v>
      </c>
      <c r="J29" t="s">
        <v>603</v>
      </c>
    </row>
    <row r="30" ht="21" customHeight="1" spans="9:10">
      <c r="I30" t="s">
        <v>621</v>
      </c>
      <c r="J30" t="s">
        <v>605</v>
      </c>
    </row>
    <row r="31" ht="21" customHeight="1" spans="9:10">
      <c r="I31" t="s">
        <v>622</v>
      </c>
      <c r="J31" t="s">
        <v>607</v>
      </c>
    </row>
    <row r="32" ht="21" customHeight="1" spans="9:10">
      <c r="I32" t="s">
        <v>623</v>
      </c>
      <c r="J32" t="s">
        <v>609</v>
      </c>
    </row>
    <row r="33" ht="21" customHeight="1" spans="9:10">
      <c r="I33" t="s">
        <v>624</v>
      </c>
      <c r="J33" t="s">
        <v>619</v>
      </c>
    </row>
    <row r="34" ht="21" customHeight="1" spans="9:10">
      <c r="I34" t="s">
        <v>625</v>
      </c>
      <c r="J34" t="s">
        <v>603</v>
      </c>
    </row>
    <row r="35" ht="21" customHeight="1" spans="9:10">
      <c r="I35" t="s">
        <v>626</v>
      </c>
      <c r="J35" t="s">
        <v>605</v>
      </c>
    </row>
    <row r="36" ht="21" customHeight="1" spans="9:10">
      <c r="I36" t="s">
        <v>627</v>
      </c>
      <c r="J36" t="s">
        <v>607</v>
      </c>
    </row>
    <row r="37" ht="21" customHeight="1" spans="9:10">
      <c r="I37" t="s">
        <v>628</v>
      </c>
      <c r="J37" t="s">
        <v>609</v>
      </c>
    </row>
    <row r="38" ht="19" customHeight="1" spans="9:10">
      <c r="I38" t="s">
        <v>629</v>
      </c>
      <c r="J38" t="s">
        <v>619</v>
      </c>
    </row>
    <row r="39" ht="19" customHeight="1" spans="9:10">
      <c r="I39" t="s">
        <v>630</v>
      </c>
      <c r="J39" t="s">
        <v>603</v>
      </c>
    </row>
    <row r="40" ht="19" customHeight="1" spans="9:10">
      <c r="I40" t="s">
        <v>631</v>
      </c>
      <c r="J40" t="s">
        <v>605</v>
      </c>
    </row>
    <row r="41" ht="19" customHeight="1" spans="9:10">
      <c r="I41" t="s">
        <v>632</v>
      </c>
      <c r="J41" t="s">
        <v>607</v>
      </c>
    </row>
    <row r="42" ht="19" customHeight="1" spans="9:10">
      <c r="I42" t="s">
        <v>633</v>
      </c>
      <c r="J42" t="s">
        <v>609</v>
      </c>
    </row>
    <row r="43" ht="19" customHeight="1" spans="9:10">
      <c r="I43" t="s">
        <v>634</v>
      </c>
      <c r="J43" t="s">
        <v>619</v>
      </c>
    </row>
    <row r="44" ht="19" customHeight="1" spans="9:10">
      <c r="I44" t="s">
        <v>635</v>
      </c>
      <c r="J44" t="s">
        <v>603</v>
      </c>
    </row>
    <row r="45" ht="19" customHeight="1" spans="9:10">
      <c r="I45" t="s">
        <v>636</v>
      </c>
      <c r="J45" t="s">
        <v>605</v>
      </c>
    </row>
    <row r="46" ht="19" customHeight="1" spans="9:10">
      <c r="I46" t="s">
        <v>637</v>
      </c>
      <c r="J46" t="s">
        <v>607</v>
      </c>
    </row>
    <row r="47" ht="19" customHeight="1" spans="9:10">
      <c r="I47" t="s">
        <v>638</v>
      </c>
      <c r="J47" t="s">
        <v>609</v>
      </c>
    </row>
    <row r="48" ht="19" customHeight="1" spans="9:10">
      <c r="I48" t="s">
        <v>639</v>
      </c>
      <c r="J48" t="s">
        <v>619</v>
      </c>
    </row>
    <row r="49" ht="19" customHeight="1" spans="9:10">
      <c r="I49" t="s">
        <v>640</v>
      </c>
      <c r="J49" t="s">
        <v>641</v>
      </c>
    </row>
    <row r="50" ht="17" customHeight="1" spans="9:10">
      <c r="I50" t="s">
        <v>642</v>
      </c>
      <c r="J50" t="s">
        <v>641</v>
      </c>
    </row>
    <row r="51" ht="18" customHeight="1" spans="9:10">
      <c r="I51" t="s">
        <v>643</v>
      </c>
      <c r="J51" t="s">
        <v>641</v>
      </c>
    </row>
    <row r="52" ht="18" customHeight="1" spans="9:10">
      <c r="I52" t="s">
        <v>644</v>
      </c>
      <c r="J52" t="s">
        <v>645</v>
      </c>
    </row>
    <row r="53" ht="18" customHeight="1" spans="9:10">
      <c r="I53" t="s">
        <v>646</v>
      </c>
      <c r="J53" t="s">
        <v>647</v>
      </c>
    </row>
    <row r="54" ht="18" customHeight="1" spans="9:10">
      <c r="I54" t="s">
        <v>648</v>
      </c>
      <c r="J54" t="s">
        <v>429</v>
      </c>
    </row>
    <row r="55" ht="18" customHeight="1"/>
  </sheetData>
  <dataValidations count="5">
    <dataValidation type="list" allowBlank="1" showInputMessage="1" showErrorMessage="1" sqref="E3:E9">
      <formula1>"男,女"</formula1>
    </dataValidation>
    <dataValidation type="textLength" operator="between" allowBlank="1" showInputMessage="1" showErrorMessage="1" sqref="F3:F9">
      <formula1>15</formula1>
      <formula2>18</formula2>
    </dataValidation>
    <dataValidation type="list" allowBlank="1" showInputMessage="1" showErrorMessage="1" sqref="G3:G9">
      <formula1>"研究生（博士）,研究生（硕士）,本科,大专,大专以下"</formula1>
    </dataValidation>
    <dataValidation type="list" allowBlank="1" showInputMessage="1" showErrorMessage="1" sqref="L3:L7 L8:M9">
      <formula1>"员工,外聘,派遣"</formula1>
    </dataValidation>
    <dataValidation type="textLength" operator="between" allowBlank="1" showInputMessage="1" showErrorMessage="1" error="最大长度不超过20" sqref="P3:P9 C3:D9">
      <formula1>2</formula1>
      <formula2>20</formula2>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16"/>
  <sheetViews>
    <sheetView workbookViewId="0">
      <selection activeCell="J19" sqref="J19"/>
    </sheetView>
  </sheetViews>
  <sheetFormatPr defaultColWidth="9.02884615384615" defaultRowHeight="16.8"/>
  <cols>
    <col min="1" max="1" width="4.65384615384615" customWidth="1"/>
    <col min="2" max="2" width="12.4903846153846" customWidth="1"/>
    <col min="3" max="3" width="14.8173076923077" customWidth="1"/>
    <col min="4" max="4" width="11.0865384615385" customWidth="1"/>
    <col min="5" max="5" width="14.2788461538462" customWidth="1"/>
    <col min="6" max="6" width="13.1538461538462" customWidth="1"/>
    <col min="7" max="7" width="12.6826923076923" customWidth="1"/>
    <col min="8" max="9" width="13.8076923076923" customWidth="1"/>
    <col min="10" max="10" width="12.1634615384615" customWidth="1"/>
    <col min="11" max="12" width="11.6923076923077" customWidth="1"/>
    <col min="13" max="13" width="14.2115384615385" customWidth="1"/>
    <col min="14" max="14" width="15.8076923076923" customWidth="1"/>
    <col min="15" max="15" width="15" customWidth="1"/>
    <col min="16" max="16" width="15.7307692307692" customWidth="1"/>
    <col min="17" max="17" width="21.0480769230769" customWidth="1"/>
    <col min="18" max="18" width="12.8846153846154" customWidth="1"/>
    <col min="19" max="19" width="25.9519230769231" customWidth="1"/>
    <col min="20" max="20" width="18.5961538461538" customWidth="1"/>
    <col min="21" max="21" width="24.2307692307692" customWidth="1"/>
  </cols>
  <sheetData>
    <row r="2" ht="23" customHeight="1" spans="2:20">
      <c r="B2" s="1" t="s">
        <v>560</v>
      </c>
      <c r="C2" s="1" t="s">
        <v>561</v>
      </c>
      <c r="D2" s="2" t="s">
        <v>562</v>
      </c>
      <c r="E2" s="2" t="s">
        <v>649</v>
      </c>
      <c r="F2" s="2" t="s">
        <v>650</v>
      </c>
      <c r="G2" s="2" t="s">
        <v>651</v>
      </c>
      <c r="H2" s="2" t="s">
        <v>652</v>
      </c>
      <c r="I2" s="2" t="s">
        <v>590</v>
      </c>
      <c r="J2" s="3" t="s">
        <v>564</v>
      </c>
      <c r="K2" s="3" t="s">
        <v>565</v>
      </c>
      <c r="L2" s="3" t="s">
        <v>653</v>
      </c>
      <c r="M2" s="3" t="s">
        <v>654</v>
      </c>
      <c r="N2" s="3" t="s">
        <v>655</v>
      </c>
      <c r="O2" s="3" t="s">
        <v>656</v>
      </c>
      <c r="P2" s="3" t="s">
        <v>657</v>
      </c>
      <c r="Q2" s="1" t="s">
        <v>658</v>
      </c>
      <c r="R2" s="1" t="s">
        <v>659</v>
      </c>
      <c r="S2" s="2" t="s">
        <v>660</v>
      </c>
      <c r="T2" s="3" t="s">
        <v>3</v>
      </c>
    </row>
    <row r="3" ht="20" customHeight="1" spans="2:20">
      <c r="B3" s="4"/>
      <c r="C3" s="4"/>
      <c r="D3" s="4"/>
      <c r="E3" s="4" t="s">
        <v>661</v>
      </c>
      <c r="F3" s="4" t="s">
        <v>662</v>
      </c>
      <c r="G3" s="4"/>
      <c r="H3" s="4"/>
      <c r="I3" s="4"/>
      <c r="J3" s="4"/>
      <c r="K3" s="4"/>
      <c r="L3" s="4"/>
      <c r="M3" s="4"/>
      <c r="N3" s="4"/>
      <c r="O3" s="4"/>
      <c r="P3" s="4"/>
      <c r="Q3" s="4"/>
      <c r="R3" s="6"/>
      <c r="S3" s="134" t="s">
        <v>594</v>
      </c>
      <c r="T3" s="6"/>
    </row>
    <row r="4" ht="20" customHeight="1" spans="2:20">
      <c r="B4" s="4"/>
      <c r="C4" s="4"/>
      <c r="E4" s="4" t="s">
        <v>661</v>
      </c>
      <c r="F4" s="4" t="s">
        <v>663</v>
      </c>
      <c r="G4" s="4"/>
      <c r="H4" s="4"/>
      <c r="I4" s="4"/>
      <c r="J4" s="4"/>
      <c r="K4" s="4"/>
      <c r="L4" s="4"/>
      <c r="M4" s="4"/>
      <c r="N4" s="4"/>
      <c r="O4" s="4"/>
      <c r="P4" s="4"/>
      <c r="Q4" s="4"/>
      <c r="R4" s="6"/>
      <c r="S4" s="4"/>
      <c r="T4" s="6"/>
    </row>
    <row r="5" ht="20" customHeight="1" spans="2:20">
      <c r="B5" s="4"/>
      <c r="C5" s="4"/>
      <c r="D5" s="4"/>
      <c r="E5" s="4" t="s">
        <v>541</v>
      </c>
      <c r="F5" s="4" t="s">
        <v>664</v>
      </c>
      <c r="G5" s="4"/>
      <c r="H5" s="4"/>
      <c r="I5" s="4"/>
      <c r="J5" s="4"/>
      <c r="K5" s="4"/>
      <c r="L5" s="4"/>
      <c r="M5" s="4"/>
      <c r="N5" s="4"/>
      <c r="O5" s="4"/>
      <c r="P5" s="4"/>
      <c r="Q5" s="4"/>
      <c r="R5" s="6"/>
      <c r="S5" s="4"/>
      <c r="T5" s="6"/>
    </row>
    <row r="6" ht="20" customHeight="1" spans="2:20">
      <c r="B6" s="4"/>
      <c r="C6" s="4"/>
      <c r="D6" s="4"/>
      <c r="E6" s="4" t="s">
        <v>541</v>
      </c>
      <c r="F6" s="4" t="s">
        <v>665</v>
      </c>
      <c r="G6" s="4"/>
      <c r="H6" s="4" t="s">
        <v>666</v>
      </c>
      <c r="I6" s="4"/>
      <c r="J6" s="4"/>
      <c r="K6" s="4"/>
      <c r="L6" s="4"/>
      <c r="M6" s="4"/>
      <c r="N6" s="4"/>
      <c r="O6" s="4"/>
      <c r="P6" s="4"/>
      <c r="Q6" s="4"/>
      <c r="R6" s="6"/>
      <c r="S6" s="4"/>
      <c r="T6" s="6"/>
    </row>
    <row r="7" ht="20" customHeight="1" spans="2:20">
      <c r="B7" s="4"/>
      <c r="C7" s="4"/>
      <c r="D7" s="4"/>
      <c r="E7" s="4"/>
      <c r="F7" s="4"/>
      <c r="G7" s="4"/>
      <c r="H7" s="4"/>
      <c r="I7" s="4"/>
      <c r="J7" s="4"/>
      <c r="K7" s="4"/>
      <c r="L7" s="4"/>
      <c r="M7" s="4"/>
      <c r="N7" s="4"/>
      <c r="O7" s="4"/>
      <c r="P7" s="4"/>
      <c r="Q7" s="4"/>
      <c r="R7" s="6"/>
      <c r="S7" s="4"/>
      <c r="T7" s="6"/>
    </row>
    <row r="8" ht="20" customHeight="1" spans="2:20">
      <c r="B8" s="4"/>
      <c r="C8" s="4"/>
      <c r="D8" s="4"/>
      <c r="E8" s="4"/>
      <c r="F8" s="4"/>
      <c r="G8" s="4"/>
      <c r="H8" s="4"/>
      <c r="I8" s="4"/>
      <c r="J8" s="4"/>
      <c r="K8" s="4"/>
      <c r="L8" s="4"/>
      <c r="M8" s="4"/>
      <c r="N8" s="4"/>
      <c r="O8" s="4"/>
      <c r="P8" s="4"/>
      <c r="Q8" s="4"/>
      <c r="R8" s="6"/>
      <c r="S8" s="4"/>
      <c r="T8" s="6"/>
    </row>
    <row r="9" ht="20" customHeight="1" spans="2:20">
      <c r="B9" s="4"/>
      <c r="C9" s="4"/>
      <c r="D9" s="4"/>
      <c r="E9" s="4"/>
      <c r="F9" s="4"/>
      <c r="G9" s="4"/>
      <c r="H9" s="4"/>
      <c r="I9" s="4"/>
      <c r="J9" s="4"/>
      <c r="K9" s="4"/>
      <c r="L9" s="4"/>
      <c r="M9" s="4"/>
      <c r="N9" s="4"/>
      <c r="O9" s="4"/>
      <c r="P9" s="4"/>
      <c r="Q9" s="4"/>
      <c r="R9" s="6"/>
      <c r="S9" s="4"/>
      <c r="T9" s="6"/>
    </row>
    <row r="11" spans="2:20">
      <c r="B11" t="s">
        <v>442</v>
      </c>
    </row>
    <row r="12" ht="17" customHeight="1" spans="2:20">
      <c r="B12" t="s">
        <v>667</v>
      </c>
    </row>
    <row r="13" ht="17" customHeight="1" spans="2:20">
      <c r="B13" t="s">
        <v>668</v>
      </c>
    </row>
    <row r="14" ht="17" customHeight="1" spans="2:20">
      <c r="B14" t="s">
        <v>669</v>
      </c>
    </row>
    <row r="15" ht="17" customHeight="1"/>
    <row r="16" ht="17" customHeight="1"/>
  </sheetData>
  <dataValidations count="3">
    <dataValidation type="textLength" operator="between" allowBlank="1" showInputMessage="1" showErrorMessage="1" error="最大长度不超过20" sqref="B3:I3 B4:C4 E4:I4 S3:S9 B5:I9">
      <formula1>2</formula1>
      <formula2>20</formula2>
    </dataValidation>
    <dataValidation type="list" allowBlank="1" showInputMessage="1" showErrorMessage="1" sqref="Q3:Q9">
      <formula1>"否,是"</formula1>
    </dataValidation>
    <dataValidation type="list" allowBlank="1" showInputMessage="1" showErrorMessage="1" sqref="R3:R9">
      <formula1>"产研共用,研发专用"</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K55"/>
  <sheetViews>
    <sheetView workbookViewId="0">
      <selection activeCell="G9" sqref="G9"/>
    </sheetView>
  </sheetViews>
  <sheetFormatPr defaultColWidth="9.02884615384615" defaultRowHeight="16.8"/>
  <cols>
    <col min="1" max="1" width="3.05769230769231" customWidth="1"/>
    <col min="2" max="2" width="13.0192307692308" customWidth="1"/>
    <col min="3" max="3" width="15.7307692307692" customWidth="1"/>
    <col min="4" max="4" width="22.9711538461538" customWidth="1"/>
    <col min="5" max="7" width="14.8653846153846" customWidth="1"/>
    <col min="8" max="8" width="14.875" customWidth="1"/>
    <col min="9" max="9" width="13.7403846153846" customWidth="1"/>
    <col min="10" max="10" width="23.0961538461538" customWidth="1"/>
    <col min="11" max="11" width="18.5961538461538" customWidth="1"/>
  </cols>
  <sheetData>
    <row r="2" ht="18" spans="2:11">
      <c r="B2" s="1" t="s">
        <v>670</v>
      </c>
      <c r="C2" s="1" t="s">
        <v>671</v>
      </c>
      <c r="D2" s="1" t="s">
        <v>672</v>
      </c>
      <c r="E2" s="1" t="s">
        <v>673</v>
      </c>
      <c r="F2" s="1" t="s">
        <v>674</v>
      </c>
      <c r="G2" s="1" t="s">
        <v>675</v>
      </c>
      <c r="H2" s="1"/>
      <c r="I2" s="1"/>
      <c r="J2" s="2" t="s">
        <v>676</v>
      </c>
      <c r="K2" s="3" t="s">
        <v>3</v>
      </c>
    </row>
    <row r="3" ht="17.6" spans="2:11">
      <c r="B3" s="4"/>
      <c r="C3" s="4"/>
      <c r="D3" s="5"/>
      <c r="E3" s="5"/>
      <c r="F3" s="4"/>
      <c r="G3" s="4"/>
      <c r="H3" s="4"/>
      <c r="I3" s="6"/>
      <c r="J3" s="134" t="s">
        <v>594</v>
      </c>
      <c r="K3" s="6"/>
    </row>
    <row r="4" ht="17.6" spans="2:11">
      <c r="B4" s="4"/>
      <c r="C4" s="4"/>
      <c r="D4" s="5"/>
      <c r="E4" s="5"/>
      <c r="F4" s="4"/>
      <c r="G4" s="4"/>
      <c r="H4" s="4"/>
      <c r="I4" s="6"/>
      <c r="J4" s="4"/>
      <c r="K4" s="6"/>
    </row>
    <row r="5" ht="17.6" spans="2:11">
      <c r="B5" s="4"/>
      <c r="C5" s="4"/>
      <c r="D5" s="5"/>
      <c r="E5" s="5"/>
      <c r="F5" s="4"/>
      <c r="G5" s="4"/>
      <c r="H5" s="4"/>
      <c r="I5" s="6"/>
      <c r="J5" s="4"/>
      <c r="K5" s="6"/>
    </row>
    <row r="6" ht="17.6" spans="2:11">
      <c r="B6" s="4"/>
      <c r="C6" s="4"/>
      <c r="D6" s="5"/>
      <c r="E6" s="5"/>
      <c r="F6" s="4"/>
      <c r="G6" s="4"/>
      <c r="H6" s="4"/>
      <c r="I6" s="6"/>
      <c r="J6" s="4"/>
      <c r="K6" s="6"/>
    </row>
    <row r="7" ht="17.6" spans="2:11">
      <c r="B7" s="4"/>
      <c r="C7" s="4"/>
      <c r="D7" s="5"/>
      <c r="E7" s="5"/>
      <c r="F7" s="4"/>
      <c r="G7" s="4"/>
      <c r="H7" s="4"/>
      <c r="I7" s="6"/>
      <c r="J7" s="4"/>
      <c r="K7" s="6"/>
    </row>
    <row r="8" ht="17.6" spans="2:11">
      <c r="B8" s="4"/>
      <c r="C8" s="4"/>
      <c r="D8" s="5"/>
      <c r="E8" s="5"/>
      <c r="F8" s="4"/>
      <c r="G8" s="4"/>
      <c r="H8" s="4"/>
      <c r="I8" s="6"/>
      <c r="J8" s="4"/>
      <c r="K8" s="6"/>
    </row>
    <row r="9" ht="17.6" spans="2:11">
      <c r="B9" s="4"/>
      <c r="C9" s="4"/>
      <c r="D9" s="5"/>
      <c r="E9" s="5"/>
      <c r="F9" s="4"/>
      <c r="G9" s="4"/>
      <c r="H9" s="4"/>
      <c r="I9" s="6"/>
      <c r="J9" s="4"/>
      <c r="K9" s="6"/>
    </row>
    <row r="11" ht="18" customHeight="1" spans="2:11">
      <c r="B11" t="s">
        <v>442</v>
      </c>
    </row>
    <row r="12" ht="23" customHeight="1" spans="2:11">
      <c r="B12" t="s">
        <v>677</v>
      </c>
    </row>
    <row r="13" ht="23" customHeight="1"/>
    <row r="14" ht="23" customHeight="1"/>
    <row r="15" ht="23" customHeight="1" spans="2:11">
      <c r="G15" t="s">
        <v>678</v>
      </c>
      <c r="H15" t="s">
        <v>679</v>
      </c>
      <c r="I15" t="s">
        <v>680</v>
      </c>
    </row>
    <row r="16" ht="23" customHeight="1" spans="2:11">
      <c r="G16" s="127" t="s">
        <v>681</v>
      </c>
      <c r="H16" s="127" t="s">
        <v>682</v>
      </c>
      <c r="I16" s="127" t="s">
        <v>683</v>
      </c>
    </row>
    <row r="17" ht="23" customHeight="1" spans="7:9">
      <c r="G17" s="127" t="s">
        <v>684</v>
      </c>
      <c r="H17" s="127" t="s">
        <v>685</v>
      </c>
      <c r="I17" s="127" t="s">
        <v>686</v>
      </c>
    </row>
    <row r="18" ht="23" customHeight="1" spans="7:9">
      <c r="G18" s="127" t="s">
        <v>687</v>
      </c>
      <c r="H18" s="127"/>
      <c r="I18" s="127"/>
    </row>
    <row r="19" ht="23" customHeight="1" spans="7:9">
      <c r="G19" s="127" t="s">
        <v>688</v>
      </c>
      <c r="H19" s="127"/>
      <c r="I19" s="127"/>
    </row>
    <row r="20" ht="18" customHeight="1"/>
    <row r="21" ht="21" customHeight="1"/>
    <row r="22" ht="21" customHeight="1"/>
    <row r="23" ht="21" customHeight="1"/>
    <row r="24" ht="21" customHeight="1"/>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19" customHeight="1"/>
    <row r="39" ht="19" customHeight="1"/>
    <row r="40" ht="19" customHeight="1"/>
    <row r="41" ht="19" customHeight="1"/>
    <row r="42" ht="19" customHeight="1"/>
    <row r="43" ht="19" customHeight="1"/>
    <row r="44" ht="19" customHeight="1"/>
    <row r="45" ht="19" customHeight="1"/>
    <row r="46" ht="19" customHeight="1"/>
    <row r="47" ht="19" customHeight="1"/>
    <row r="48" ht="19" customHeight="1"/>
    <row r="49" ht="19" customHeight="1"/>
    <row r="50" ht="17" customHeight="1"/>
    <row r="51" ht="18" customHeight="1"/>
    <row r="52" ht="18" customHeight="1"/>
    <row r="53" ht="18" customHeight="1"/>
    <row r="54" ht="18" customHeight="1"/>
    <row r="55" ht="18" customHeight="1"/>
  </sheetData>
  <dataValidations count="2">
    <dataValidation type="textLength" operator="between" allowBlank="1" showInputMessage="1" showErrorMessage="1" error="最大长度不超过20" sqref="J3:J9 B3:C9">
      <formula1>2</formula1>
      <formula2>20</formula2>
    </dataValidation>
    <dataValidation type="textLength" operator="between" allowBlank="1" showInputMessage="1" showErrorMessage="1" sqref="D3:E9">
      <formula1>15</formula1>
      <formula2>18</formula2>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39"/>
  <sheetViews>
    <sheetView workbookViewId="0">
      <selection activeCell="I14" sqref="I14"/>
    </sheetView>
  </sheetViews>
  <sheetFormatPr defaultColWidth="9.02884615384615" defaultRowHeight="16.8"/>
  <cols>
    <col min="1" max="1" width="2.46153846153846" customWidth="1"/>
    <col min="2" max="2" width="14.3365384615385" customWidth="1"/>
    <col min="3" max="3" width="16.6634615384615" customWidth="1"/>
    <col min="4" max="4" width="17.8557692307692" customWidth="1"/>
    <col min="5" max="5" width="16.0673076923077" customWidth="1"/>
    <col min="6" max="6" width="17.5961538461538" customWidth="1"/>
    <col min="7" max="7" width="14.0769230769231" customWidth="1"/>
    <col min="8" max="8" width="15.6057692307692" customWidth="1"/>
    <col min="9" max="9" width="20.1730769230769" customWidth="1"/>
    <col min="10" max="11" width="14.9423076923077" customWidth="1"/>
    <col min="12" max="12" width="13.5384615384615" customWidth="1"/>
    <col min="13" max="14" width="11.9519230769231" customWidth="1"/>
    <col min="15" max="15" width="14.4038461538462" customWidth="1"/>
    <col min="16" max="16" width="13.5480769230769" customWidth="1"/>
    <col min="17" max="17" width="12.6153846153846" customWidth="1"/>
    <col min="18" max="19" width="13.3461538461538" customWidth="1"/>
    <col min="20" max="20" width="15.0673076923077" customWidth="1"/>
  </cols>
  <sheetData>
    <row r="1" ht="18" customHeight="1"/>
    <row r="2" ht="18" spans="2:20">
      <c r="B2" s="1" t="s">
        <v>689</v>
      </c>
      <c r="C2" s="1" t="s">
        <v>690</v>
      </c>
      <c r="D2" s="1" t="s">
        <v>691</v>
      </c>
      <c r="E2" s="1" t="s">
        <v>692</v>
      </c>
      <c r="F2" s="2" t="s">
        <v>693</v>
      </c>
      <c r="G2" s="1" t="s">
        <v>694</v>
      </c>
      <c r="H2" s="2" t="s">
        <v>391</v>
      </c>
      <c r="I2" s="1" t="s">
        <v>695</v>
      </c>
      <c r="J2" s="2" t="s">
        <v>696</v>
      </c>
      <c r="K2" s="1" t="s">
        <v>697</v>
      </c>
      <c r="L2" s="2" t="s">
        <v>698</v>
      </c>
      <c r="M2" s="2" t="s">
        <v>699</v>
      </c>
      <c r="N2" s="2" t="s">
        <v>700</v>
      </c>
      <c r="O2" s="2" t="s">
        <v>701</v>
      </c>
      <c r="P2" s="2" t="s">
        <v>702</v>
      </c>
      <c r="Q2" s="2" t="s">
        <v>703</v>
      </c>
      <c r="R2" s="2" t="s">
        <v>704</v>
      </c>
      <c r="S2" s="2" t="s">
        <v>705</v>
      </c>
      <c r="T2" s="3" t="s">
        <v>3</v>
      </c>
    </row>
    <row r="3" ht="17.6" spans="2:20">
      <c r="B3" s="4"/>
      <c r="C3" s="4"/>
      <c r="D3" s="4"/>
      <c r="E3" s="5"/>
      <c r="F3" s="5"/>
      <c r="G3" s="4"/>
      <c r="H3" s="4"/>
      <c r="I3" s="4"/>
      <c r="J3" s="4"/>
      <c r="K3" s="4"/>
      <c r="L3" s="4"/>
      <c r="M3" s="4"/>
      <c r="N3" s="4"/>
      <c r="O3" s="4"/>
      <c r="P3" s="4"/>
      <c r="Q3" s="4"/>
      <c r="R3" s="4"/>
      <c r="S3" s="4"/>
      <c r="T3" s="6"/>
    </row>
    <row r="4" ht="17.6" spans="2:20">
      <c r="B4" s="4"/>
      <c r="C4" s="4"/>
      <c r="D4" s="4"/>
      <c r="E4" s="5"/>
      <c r="F4" s="5"/>
      <c r="G4" s="4"/>
      <c r="I4" s="4"/>
      <c r="J4" s="4"/>
      <c r="K4" s="4"/>
      <c r="L4" s="4"/>
      <c r="M4" s="4"/>
      <c r="N4" s="4"/>
      <c r="O4" s="4"/>
      <c r="P4" s="4"/>
      <c r="Q4" s="4"/>
      <c r="R4" s="4"/>
      <c r="S4" s="4"/>
      <c r="T4" s="6"/>
    </row>
    <row r="5" ht="17.6" spans="2:20">
      <c r="B5" s="4"/>
      <c r="C5" s="4"/>
      <c r="D5" s="4"/>
      <c r="E5" s="5"/>
      <c r="F5" s="5"/>
      <c r="G5" s="4"/>
      <c r="H5" s="4"/>
      <c r="I5" s="4"/>
      <c r="J5" s="4"/>
      <c r="K5" s="4"/>
      <c r="L5" s="4"/>
      <c r="M5" s="4"/>
      <c r="N5" s="4"/>
      <c r="O5" s="4"/>
      <c r="P5" s="4"/>
      <c r="Q5" s="4"/>
      <c r="R5" s="4"/>
      <c r="S5" s="4"/>
      <c r="T5" s="6"/>
    </row>
    <row r="6" ht="17.6" spans="2:20">
      <c r="B6" s="4"/>
      <c r="C6" s="4"/>
      <c r="D6" s="4"/>
      <c r="E6" s="5"/>
      <c r="F6" s="5"/>
      <c r="G6" s="4"/>
      <c r="H6" s="4"/>
      <c r="I6" s="4"/>
      <c r="J6" s="4"/>
      <c r="K6" s="4"/>
      <c r="L6" s="4"/>
      <c r="M6" s="4"/>
      <c r="N6" s="4"/>
      <c r="O6" s="4"/>
      <c r="P6" s="4"/>
      <c r="Q6" s="4"/>
      <c r="R6" s="4"/>
      <c r="S6" s="4"/>
      <c r="T6" s="6"/>
    </row>
    <row r="7" ht="17.6" spans="2:20">
      <c r="B7" s="4"/>
      <c r="C7" s="4"/>
      <c r="D7" s="4"/>
      <c r="E7" s="5"/>
      <c r="F7" s="5"/>
      <c r="G7" s="4"/>
      <c r="H7" s="4"/>
      <c r="I7" s="4"/>
      <c r="J7" s="4"/>
      <c r="K7" s="4"/>
      <c r="L7" s="4"/>
      <c r="M7" s="4"/>
      <c r="N7" s="4"/>
      <c r="O7" s="4"/>
      <c r="P7" s="4"/>
      <c r="Q7" s="4"/>
      <c r="R7" s="4"/>
      <c r="S7" s="4"/>
      <c r="T7" s="6"/>
    </row>
    <row r="8" ht="17.6" spans="2:20">
      <c r="B8" s="4"/>
      <c r="C8" s="4"/>
      <c r="D8" s="4"/>
      <c r="E8" s="5"/>
      <c r="F8" s="5"/>
      <c r="G8" s="4"/>
      <c r="H8" s="4"/>
      <c r="I8" s="4"/>
      <c r="J8" s="4"/>
      <c r="K8" s="4"/>
      <c r="L8" s="4"/>
      <c r="M8" s="4"/>
      <c r="N8" s="4"/>
      <c r="O8" s="4"/>
      <c r="P8" s="4"/>
      <c r="Q8" s="4"/>
      <c r="R8" s="4"/>
      <c r="S8" s="4"/>
      <c r="T8" s="6"/>
    </row>
    <row r="9" ht="17.6" spans="2:20">
      <c r="B9" s="4"/>
      <c r="C9" s="4"/>
      <c r="D9" s="4"/>
      <c r="E9" s="5"/>
      <c r="F9" s="5"/>
      <c r="G9" s="4"/>
      <c r="H9" s="4"/>
      <c r="I9" s="4"/>
      <c r="J9" s="4"/>
      <c r="K9" s="4"/>
      <c r="L9" s="4"/>
      <c r="M9" s="4"/>
      <c r="N9" s="4"/>
      <c r="O9" s="4"/>
      <c r="P9" s="4"/>
      <c r="Q9" s="4"/>
      <c r="R9" s="4"/>
      <c r="S9" s="4"/>
      <c r="T9" s="6"/>
    </row>
    <row r="12" ht="18" customHeight="1" spans="2:20">
      <c r="B12" t="s">
        <v>442</v>
      </c>
      <c r="H12" t="s">
        <v>706</v>
      </c>
      <c r="I12" t="s">
        <v>707</v>
      </c>
      <c r="J12" t="s">
        <v>708</v>
      </c>
      <c r="K12" t="s">
        <v>709</v>
      </c>
      <c r="L12" t="s">
        <v>710</v>
      </c>
    </row>
    <row r="13" ht="18" customHeight="1" spans="2:20">
      <c r="B13" t="s">
        <v>711</v>
      </c>
      <c r="H13" t="s">
        <v>712</v>
      </c>
      <c r="I13" t="s">
        <v>713</v>
      </c>
      <c r="J13" t="s">
        <v>86</v>
      </c>
      <c r="K13" t="s">
        <v>714</v>
      </c>
      <c r="L13" s="127" t="s">
        <v>715</v>
      </c>
    </row>
    <row r="14" ht="18" customHeight="1" spans="2:20">
      <c r="B14" t="s">
        <v>716</v>
      </c>
      <c r="H14" t="s">
        <v>712</v>
      </c>
      <c r="I14" t="s">
        <v>717</v>
      </c>
      <c r="J14" t="s">
        <v>718</v>
      </c>
      <c r="K14" t="s">
        <v>719</v>
      </c>
      <c r="L14" s="127" t="s">
        <v>720</v>
      </c>
    </row>
    <row r="15" ht="18" customHeight="1" spans="2:20">
      <c r="B15" t="s">
        <v>721</v>
      </c>
      <c r="H15" t="s">
        <v>712</v>
      </c>
      <c r="I15" t="s">
        <v>722</v>
      </c>
      <c r="J15" t="s">
        <v>723</v>
      </c>
      <c r="K15" t="s">
        <v>724</v>
      </c>
      <c r="L15" s="127" t="s">
        <v>725</v>
      </c>
    </row>
    <row r="16" ht="18" customHeight="1" spans="2:20">
      <c r="B16" t="s">
        <v>726</v>
      </c>
      <c r="H16" t="s">
        <v>712</v>
      </c>
      <c r="I16" t="s">
        <v>727</v>
      </c>
      <c r="J16" t="s">
        <v>429</v>
      </c>
    </row>
    <row r="17" ht="18" customHeight="1" spans="2:9">
      <c r="B17" t="s">
        <v>728</v>
      </c>
      <c r="H17" t="s">
        <v>729</v>
      </c>
      <c r="I17" t="s">
        <v>730</v>
      </c>
    </row>
    <row r="18" ht="18" customHeight="1" spans="2:9">
      <c r="B18" t="s">
        <v>731</v>
      </c>
      <c r="H18" t="s">
        <v>729</v>
      </c>
      <c r="I18" t="s">
        <v>732</v>
      </c>
    </row>
    <row r="19" ht="18" customHeight="1" spans="2:9">
      <c r="H19" t="s">
        <v>729</v>
      </c>
      <c r="I19" t="s">
        <v>733</v>
      </c>
    </row>
    <row r="20" ht="20" customHeight="1" spans="2:9">
      <c r="H20" t="s">
        <v>729</v>
      </c>
      <c r="I20" t="s">
        <v>734</v>
      </c>
    </row>
    <row r="21" ht="20" customHeight="1" spans="2:9">
      <c r="H21" t="s">
        <v>729</v>
      </c>
      <c r="I21" t="s">
        <v>735</v>
      </c>
    </row>
    <row r="22" ht="20" customHeight="1" spans="2:9">
      <c r="H22" t="s">
        <v>729</v>
      </c>
      <c r="I22" t="s">
        <v>736</v>
      </c>
    </row>
    <row r="23" ht="20" customHeight="1" spans="2:9">
      <c r="H23" t="s">
        <v>737</v>
      </c>
      <c r="I23" t="s">
        <v>738</v>
      </c>
    </row>
    <row r="24" ht="20" customHeight="1" spans="2:9">
      <c r="H24" t="s">
        <v>737</v>
      </c>
      <c r="I24" t="s">
        <v>739</v>
      </c>
    </row>
    <row r="25" ht="20" customHeight="1" spans="2:9">
      <c r="H25" t="s">
        <v>737</v>
      </c>
      <c r="I25" t="s">
        <v>740</v>
      </c>
    </row>
    <row r="26" ht="20" customHeight="1" spans="2:9">
      <c r="H26" t="s">
        <v>737</v>
      </c>
      <c r="I26" t="s">
        <v>741</v>
      </c>
    </row>
    <row r="27" ht="20" customHeight="1" spans="2:9">
      <c r="H27" t="s">
        <v>737</v>
      </c>
      <c r="I27" t="s">
        <v>742</v>
      </c>
    </row>
    <row r="28" ht="20" customHeight="1" spans="2:9">
      <c r="H28" t="s">
        <v>737</v>
      </c>
      <c r="I28" t="s">
        <v>743</v>
      </c>
    </row>
    <row r="29" ht="20" customHeight="1" spans="2:9">
      <c r="H29" t="s">
        <v>729</v>
      </c>
      <c r="I29" t="s">
        <v>744</v>
      </c>
    </row>
    <row r="30" ht="20" customHeight="1" spans="2:9">
      <c r="H30" t="s">
        <v>729</v>
      </c>
      <c r="I30" t="s">
        <v>745</v>
      </c>
    </row>
    <row r="31" ht="20" customHeight="1" spans="2:9">
      <c r="H31" t="s">
        <v>737</v>
      </c>
      <c r="I31" t="s">
        <v>746</v>
      </c>
    </row>
    <row r="32" ht="20" customHeight="1" spans="2:9">
      <c r="H32" t="s">
        <v>747</v>
      </c>
      <c r="I32" t="s">
        <v>748</v>
      </c>
    </row>
    <row r="33" ht="20" customHeight="1" spans="8:9">
      <c r="H33" t="s">
        <v>747</v>
      </c>
      <c r="I33" t="s">
        <v>749</v>
      </c>
    </row>
    <row r="34" ht="21" customHeight="1" spans="8:9">
      <c r="H34" t="s">
        <v>747</v>
      </c>
      <c r="I34" t="s">
        <v>750</v>
      </c>
    </row>
    <row r="35" ht="21" customHeight="1" spans="8:9">
      <c r="H35" t="s">
        <v>751</v>
      </c>
      <c r="I35" t="s">
        <v>752</v>
      </c>
    </row>
    <row r="36" ht="19" customHeight="1" spans="8:9">
      <c r="H36" t="s">
        <v>751</v>
      </c>
      <c r="I36" t="s">
        <v>753</v>
      </c>
    </row>
    <row r="37" ht="19" customHeight="1" spans="8:9">
      <c r="H37" t="s">
        <v>751</v>
      </c>
      <c r="I37" t="s">
        <v>754</v>
      </c>
    </row>
    <row r="38" ht="21" customHeight="1"/>
    <row r="39" ht="19" customHeight="1"/>
  </sheetData>
  <dataValidations count="2">
    <dataValidation type="textLength" operator="between" allowBlank="1" showInputMessage="1" showErrorMessage="1" error="最大长度不超过20" sqref="H3:S3 I4:S4 B3:D9 H5:S9">
      <formula1>2</formula1>
      <formula2>20</formula2>
    </dataValidation>
    <dataValidation type="textLength" operator="between" allowBlank="1" showInputMessage="1" showErrorMessage="1" sqref="E3:F9">
      <formula1>15</formula1>
      <formula2>18</formula2>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O12"/>
  <sheetViews>
    <sheetView workbookViewId="0">
      <selection activeCell="I19" sqref="H19:I19"/>
    </sheetView>
  </sheetViews>
  <sheetFormatPr defaultColWidth="9.02884615384615" defaultRowHeight="16.8"/>
  <cols>
    <col min="1" max="2" width="3.93269230769231" customWidth="1"/>
    <col min="3" max="3" width="15.8076923076923" customWidth="1"/>
    <col min="4" max="4" width="18.3846153846154" customWidth="1"/>
    <col min="5" max="5" width="16.6634615384615" customWidth="1"/>
    <col min="6" max="6" width="18.7211538461538" customWidth="1"/>
    <col min="7" max="7" width="13.0192307692308" customWidth="1"/>
    <col min="8" max="8" width="12.5576923076923" customWidth="1"/>
    <col min="9" max="9" width="9.82692307692308" customWidth="1"/>
    <col min="10" max="10" width="10.3653846153846" customWidth="1"/>
    <col min="11" max="11" width="10.8942307692308" customWidth="1"/>
    <col min="12" max="12" width="10.5576923076923" customWidth="1"/>
    <col min="13" max="15" width="12.8269230769231" customWidth="1"/>
  </cols>
  <sheetData>
    <row r="2" ht="20" customHeight="1"/>
    <row r="3" ht="24" customHeight="1" spans="2:15">
      <c r="C3" s="8" t="s">
        <v>755</v>
      </c>
      <c r="D3" s="8" t="s">
        <v>590</v>
      </c>
      <c r="E3" s="8" t="s">
        <v>652</v>
      </c>
      <c r="F3" s="8" t="s">
        <v>756</v>
      </c>
      <c r="G3" s="8" t="s">
        <v>757</v>
      </c>
      <c r="H3" s="8" t="s">
        <v>462</v>
      </c>
      <c r="I3" s="8" t="s">
        <v>454</v>
      </c>
      <c r="J3" s="8" t="s">
        <v>758</v>
      </c>
      <c r="K3" s="8" t="s">
        <v>759</v>
      </c>
      <c r="L3" s="8" t="s">
        <v>760</v>
      </c>
      <c r="M3" s="8" t="s">
        <v>761</v>
      </c>
      <c r="N3" s="8" t="s">
        <v>762</v>
      </c>
      <c r="O3" s="8" t="s">
        <v>763</v>
      </c>
    </row>
    <row r="4" ht="24" customHeight="1" spans="2:15">
      <c r="C4" s="9"/>
      <c r="D4" s="9"/>
      <c r="E4" s="9"/>
      <c r="F4" s="9"/>
      <c r="G4" s="9"/>
      <c r="H4" s="8" t="s">
        <v>764</v>
      </c>
      <c r="I4" s="8" t="s">
        <v>494</v>
      </c>
      <c r="J4" s="8">
        <v>202601</v>
      </c>
      <c r="K4" s="8" t="s">
        <v>765</v>
      </c>
      <c r="L4" s="8" t="s">
        <v>766</v>
      </c>
      <c r="M4" s="9"/>
      <c r="N4" s="9"/>
      <c r="O4" s="9"/>
    </row>
    <row r="5" ht="24" customHeight="1" spans="2:15">
      <c r="C5" s="9"/>
      <c r="D5" s="9"/>
      <c r="E5" s="9"/>
      <c r="F5" s="9"/>
      <c r="G5" s="9"/>
      <c r="H5" s="8" t="s">
        <v>767</v>
      </c>
      <c r="I5" s="8" t="s">
        <v>505</v>
      </c>
      <c r="J5" s="9"/>
      <c r="K5" s="8" t="s">
        <v>768</v>
      </c>
      <c r="L5" s="8" t="s">
        <v>769</v>
      </c>
      <c r="M5" s="9"/>
      <c r="N5" s="9"/>
      <c r="O5" s="9"/>
    </row>
    <row r="6" ht="24" customHeight="1" spans="2:15">
      <c r="C6" s="9"/>
      <c r="D6" s="9"/>
      <c r="E6" s="9"/>
      <c r="F6" s="9"/>
      <c r="G6" s="9"/>
      <c r="H6" s="8" t="s">
        <v>770</v>
      </c>
      <c r="I6" s="8"/>
      <c r="J6" s="9"/>
      <c r="K6" s="8"/>
      <c r="L6" s="8" t="s">
        <v>771</v>
      </c>
      <c r="M6" s="9"/>
      <c r="N6" s="9"/>
      <c r="O6" s="9"/>
    </row>
    <row r="7" ht="24" customHeight="1" spans="2:15">
      <c r="C7" s="9"/>
      <c r="D7" s="9"/>
      <c r="E7" s="9"/>
      <c r="F7" s="9"/>
      <c r="G7" s="9"/>
      <c r="H7" s="9"/>
      <c r="I7" s="9"/>
      <c r="J7" s="9"/>
      <c r="K7" s="9"/>
      <c r="L7" s="8"/>
      <c r="M7" s="9"/>
      <c r="N7" s="9"/>
      <c r="O7" s="9"/>
    </row>
    <row r="8" ht="24" customHeight="1" spans="2:15">
      <c r="C8" s="9"/>
      <c r="D8" s="9"/>
      <c r="E8" s="9"/>
      <c r="F8" s="9"/>
      <c r="G8" s="9"/>
      <c r="H8" s="9"/>
      <c r="I8" s="9"/>
      <c r="J8" s="9"/>
      <c r="K8" s="9"/>
      <c r="L8" s="9"/>
      <c r="M8" s="9"/>
      <c r="N8" s="9"/>
      <c r="O8" s="9"/>
    </row>
    <row r="9" ht="24" customHeight="1"/>
    <row r="10" ht="24" customHeight="1" spans="2:15">
      <c r="B10" s="133" t="s">
        <v>772</v>
      </c>
      <c r="C10" s="133"/>
    </row>
    <row r="11" ht="38" customHeight="1" spans="2:15">
      <c r="B11" s="131" t="s">
        <v>773</v>
      </c>
      <c r="C11" s="131"/>
      <c r="D11" s="131"/>
      <c r="E11" s="131"/>
      <c r="F11" s="131"/>
      <c r="G11" s="131"/>
      <c r="H11" s="131"/>
      <c r="I11" s="131"/>
      <c r="J11" s="131"/>
      <c r="K11" s="131"/>
      <c r="L11" s="131"/>
    </row>
    <row r="12" ht="22" customHeight="1" spans="2:15">
      <c r="B12" t="s">
        <v>774</v>
      </c>
    </row>
  </sheetData>
  <mergeCells count="1">
    <mergeCell ref="B11:L1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S23"/>
  <sheetViews>
    <sheetView workbookViewId="0">
      <selection activeCell="E6" sqref="E6"/>
    </sheetView>
  </sheetViews>
  <sheetFormatPr defaultColWidth="9.02884615384615" defaultRowHeight="16.8"/>
  <cols>
    <col min="2" max="2" width="12.6826923076923" customWidth="1"/>
    <col min="3" max="3" width="15.6057692307692" customWidth="1"/>
    <col min="4" max="4" width="13.3461538461538" customWidth="1"/>
    <col min="5" max="7" width="12.4903846153846" customWidth="1"/>
    <col min="8" max="8" width="12.5576923076923" customWidth="1"/>
    <col min="9" max="9" width="12.6923076923077" customWidth="1"/>
    <col min="10" max="10" width="14.9423076923077" customWidth="1"/>
    <col min="11" max="11" width="14.6826923076923" customWidth="1"/>
    <col min="12" max="12" width="15.6057692307692" customWidth="1"/>
    <col min="13" max="13" width="13.2115384615385" customWidth="1"/>
  </cols>
  <sheetData>
    <row r="2" ht="21" customHeight="1" spans="2:19">
      <c r="B2" t="s">
        <v>775</v>
      </c>
      <c r="C2" s="127" t="s">
        <v>776</v>
      </c>
      <c r="D2" s="127"/>
      <c r="E2" t="s">
        <v>777</v>
      </c>
      <c r="I2" t="s">
        <v>778</v>
      </c>
      <c r="J2" s="127"/>
      <c r="K2" s="127"/>
      <c r="L2" s="127"/>
      <c r="M2" s="127"/>
      <c r="Q2" t="s">
        <v>779</v>
      </c>
    </row>
    <row r="3" ht="30" customHeight="1" spans="2:19">
      <c r="C3" s="127"/>
      <c r="D3" s="127"/>
      <c r="J3" s="127" t="s">
        <v>780</v>
      </c>
      <c r="K3" s="127" t="s">
        <v>781</v>
      </c>
      <c r="L3" s="127" t="s">
        <v>782</v>
      </c>
    </row>
    <row r="4" ht="22" customHeight="1" spans="2:19">
      <c r="B4" s="7" t="s">
        <v>783</v>
      </c>
      <c r="C4" s="8" t="s">
        <v>590</v>
      </c>
      <c r="D4" s="8" t="s">
        <v>784</v>
      </c>
      <c r="E4" s="8" t="s">
        <v>785</v>
      </c>
      <c r="F4" s="8" t="s">
        <v>786</v>
      </c>
      <c r="G4" s="8" t="s">
        <v>787</v>
      </c>
      <c r="H4" s="8" t="s">
        <v>788</v>
      </c>
      <c r="I4" s="8" t="s">
        <v>789</v>
      </c>
      <c r="J4" s="132" t="s">
        <v>790</v>
      </c>
      <c r="K4" s="132" t="s">
        <v>791</v>
      </c>
      <c r="L4" s="8" t="s">
        <v>792</v>
      </c>
      <c r="M4" s="9"/>
      <c r="N4" s="9"/>
      <c r="Q4" t="s">
        <v>793</v>
      </c>
      <c r="S4" t="s">
        <v>794</v>
      </c>
    </row>
    <row r="5" ht="22" customHeight="1" spans="2:19">
      <c r="B5" s="9"/>
      <c r="C5" s="9"/>
      <c r="D5" s="9"/>
      <c r="E5" s="8" t="s">
        <v>795</v>
      </c>
      <c r="F5" s="8"/>
      <c r="G5" s="8"/>
      <c r="H5" s="8"/>
      <c r="I5" s="8"/>
      <c r="J5" s="9"/>
      <c r="K5" s="9"/>
      <c r="L5" s="9"/>
      <c r="M5" s="9"/>
      <c r="N5" s="9"/>
    </row>
    <row r="6" ht="22" customHeight="1" spans="2:19">
      <c r="B6" s="9"/>
      <c r="C6" s="9"/>
      <c r="D6" s="9"/>
      <c r="E6" s="8" t="s">
        <v>796</v>
      </c>
      <c r="F6" s="8"/>
      <c r="G6" s="8"/>
      <c r="H6" s="8"/>
      <c r="I6" s="8"/>
      <c r="J6" s="9"/>
      <c r="K6" s="9"/>
      <c r="L6" s="9"/>
      <c r="M6" s="9"/>
      <c r="N6" s="9"/>
    </row>
    <row r="7" ht="22" customHeight="1" spans="2:19">
      <c r="B7" s="9"/>
      <c r="C7" s="9"/>
      <c r="D7" s="9"/>
      <c r="E7" s="8" t="s">
        <v>797</v>
      </c>
      <c r="F7" s="8"/>
      <c r="G7" s="8"/>
      <c r="H7" s="8"/>
      <c r="I7" s="8"/>
      <c r="J7" s="9"/>
      <c r="K7" s="9"/>
      <c r="L7" s="9"/>
      <c r="M7" s="9"/>
      <c r="N7" s="9"/>
    </row>
    <row r="8" ht="22" customHeight="1" spans="2:19">
      <c r="B8" s="9"/>
      <c r="C8" s="9"/>
      <c r="D8" s="9"/>
      <c r="E8" s="8" t="s">
        <v>798</v>
      </c>
      <c r="F8" s="8"/>
      <c r="G8" s="8"/>
      <c r="H8" s="9"/>
      <c r="I8" s="9"/>
      <c r="J8" s="9"/>
      <c r="K8" s="9"/>
      <c r="L8" s="9"/>
      <c r="M8" s="9"/>
      <c r="N8" s="9"/>
    </row>
    <row r="9" ht="22" customHeight="1" spans="2:19">
      <c r="B9" s="9"/>
      <c r="C9" s="9"/>
      <c r="D9" s="9"/>
      <c r="E9" s="8" t="s">
        <v>799</v>
      </c>
      <c r="F9" s="8"/>
      <c r="G9" s="8"/>
      <c r="H9" s="9"/>
      <c r="I9" s="9"/>
      <c r="J9" s="9"/>
      <c r="K9" s="9"/>
      <c r="L9" s="9"/>
      <c r="M9" s="9"/>
      <c r="N9" s="9"/>
    </row>
    <row r="10" ht="22" customHeight="1" spans="2:19">
      <c r="B10" s="9"/>
      <c r="C10" s="9"/>
      <c r="D10" s="9"/>
      <c r="E10" s="9"/>
      <c r="F10" s="9"/>
      <c r="G10" s="9"/>
      <c r="H10" s="9"/>
      <c r="I10" s="9"/>
      <c r="J10" s="9"/>
      <c r="K10" s="9"/>
      <c r="L10" s="9"/>
      <c r="M10" s="9"/>
      <c r="N10" s="9"/>
    </row>
    <row r="11" ht="22" customHeight="1" spans="2:19">
      <c r="B11" s="9"/>
      <c r="C11" s="9"/>
      <c r="D11" s="9"/>
      <c r="E11" s="9"/>
      <c r="F11" s="9"/>
      <c r="G11" s="9"/>
      <c r="H11" s="9"/>
      <c r="I11" s="9"/>
      <c r="J11" s="9"/>
      <c r="K11" s="9"/>
      <c r="L11" s="9"/>
      <c r="M11" s="9"/>
      <c r="N11" s="9"/>
    </row>
    <row r="12" ht="22" customHeight="1" spans="2:19">
      <c r="B12" s="9"/>
      <c r="C12" s="9"/>
      <c r="D12" s="9"/>
      <c r="E12" s="9"/>
      <c r="F12" s="9"/>
      <c r="G12" s="9"/>
      <c r="H12" s="9"/>
      <c r="I12" s="9"/>
      <c r="J12" s="9"/>
      <c r="K12" s="9"/>
      <c r="L12" s="9"/>
      <c r="M12" s="9"/>
      <c r="N12" s="9"/>
    </row>
    <row r="13" ht="22" customHeight="1" spans="2:19">
      <c r="B13" s="9"/>
      <c r="C13" s="9"/>
      <c r="D13" s="9"/>
      <c r="E13" s="9"/>
      <c r="F13" s="9"/>
      <c r="G13" s="9"/>
      <c r="H13" s="9"/>
      <c r="I13" s="9"/>
      <c r="J13" s="9"/>
      <c r="K13" s="9"/>
      <c r="L13" s="9"/>
      <c r="M13" s="9"/>
      <c r="N13" s="9"/>
    </row>
    <row r="14" ht="22" customHeight="1" spans="2:19">
      <c r="B14" s="9"/>
      <c r="C14" s="9"/>
      <c r="D14" s="9"/>
      <c r="E14" s="9"/>
      <c r="F14" s="9"/>
      <c r="G14" s="9"/>
      <c r="H14" s="9"/>
      <c r="I14" s="9"/>
      <c r="J14" s="9"/>
      <c r="K14" s="9"/>
      <c r="L14" s="9"/>
      <c r="M14" s="9"/>
      <c r="N14" s="9"/>
    </row>
    <row r="15" ht="22" customHeight="1" spans="2:19">
      <c r="B15" s="9"/>
      <c r="C15" s="9"/>
      <c r="D15" s="9"/>
      <c r="E15" s="9"/>
      <c r="F15" s="9"/>
      <c r="G15" s="9"/>
      <c r="H15" s="9"/>
      <c r="I15" s="9"/>
      <c r="J15" s="9"/>
      <c r="K15" s="9"/>
      <c r="L15" s="9"/>
      <c r="M15" s="9"/>
      <c r="N15" s="9"/>
    </row>
    <row r="16" ht="22" customHeight="1" spans="2:19">
      <c r="B16" s="9"/>
      <c r="C16" s="9"/>
      <c r="D16" s="9"/>
      <c r="E16" s="9"/>
      <c r="F16" s="9"/>
      <c r="G16" s="9"/>
      <c r="H16" s="9"/>
      <c r="I16" s="9"/>
      <c r="J16" s="9"/>
      <c r="K16" s="9"/>
      <c r="L16" s="9"/>
      <c r="M16" s="9"/>
      <c r="N16" s="9"/>
    </row>
    <row r="19" ht="21" customHeight="1" spans="2:11">
      <c r="B19" s="133" t="s">
        <v>800</v>
      </c>
      <c r="J19" t="s">
        <v>801</v>
      </c>
      <c r="K19" t="s">
        <v>802</v>
      </c>
    </row>
    <row r="20" ht="21" customHeight="1" spans="2:11">
      <c r="B20" t="s">
        <v>803</v>
      </c>
    </row>
    <row r="21" ht="21" customHeight="1"/>
    <row r="22" ht="21" customHeight="1"/>
    <row r="23" ht="21" customHeight="1"/>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J23"/>
  <sheetViews>
    <sheetView workbookViewId="0">
      <selection activeCell="F6" sqref="F6:H7"/>
    </sheetView>
  </sheetViews>
  <sheetFormatPr defaultColWidth="9.02884615384615" defaultRowHeight="16.8"/>
  <cols>
    <col min="2" max="2" width="12.6826923076923" customWidth="1"/>
    <col min="3" max="4" width="15.6057692307692" customWidth="1"/>
    <col min="5" max="5" width="15.8653846153846" customWidth="1"/>
    <col min="6" max="6" width="13.3461538461538" customWidth="1"/>
    <col min="7" max="7" width="12.4903846153846" customWidth="1"/>
    <col min="8" max="8" width="25.625" customWidth="1"/>
    <col min="9" max="9" width="15" customWidth="1"/>
    <col min="10" max="10" width="15.0673076923077" customWidth="1"/>
  </cols>
  <sheetData>
    <row r="2" ht="21" customHeight="1" spans="2:10">
      <c r="B2" t="s">
        <v>775</v>
      </c>
      <c r="C2" s="127" t="s">
        <v>804</v>
      </c>
      <c r="D2" s="127"/>
      <c r="E2" s="127"/>
      <c r="F2" s="127"/>
      <c r="G2" t="s">
        <v>778</v>
      </c>
      <c r="J2" s="127"/>
    </row>
    <row r="3" spans="2:10">
      <c r="C3" s="127"/>
      <c r="D3" s="127"/>
      <c r="E3" s="127"/>
      <c r="F3" s="127"/>
      <c r="J3" s="127"/>
    </row>
    <row r="4" ht="19" customHeight="1" spans="2:10">
      <c r="B4" s="7" t="s">
        <v>783</v>
      </c>
      <c r="C4" s="8" t="s">
        <v>590</v>
      </c>
      <c r="D4" s="7" t="s">
        <v>805</v>
      </c>
      <c r="E4" s="8" t="s">
        <v>806</v>
      </c>
      <c r="F4" s="8" t="s">
        <v>784</v>
      </c>
      <c r="G4" s="8" t="s">
        <v>807</v>
      </c>
      <c r="H4" s="8" t="s">
        <v>436</v>
      </c>
      <c r="I4" s="132" t="s">
        <v>808</v>
      </c>
      <c r="J4" s="132" t="s">
        <v>809</v>
      </c>
    </row>
    <row r="5" ht="19" customHeight="1" spans="2:10">
      <c r="B5" s="9"/>
      <c r="C5" s="9"/>
      <c r="D5" s="9"/>
      <c r="E5" s="9"/>
      <c r="F5" s="9"/>
      <c r="G5" s="8" t="s">
        <v>810</v>
      </c>
      <c r="H5" s="8" t="s">
        <v>811</v>
      </c>
      <c r="I5" s="9"/>
      <c r="J5" s="9"/>
    </row>
    <row r="6" ht="19" customHeight="1" spans="2:10">
      <c r="B6" s="9"/>
      <c r="C6" s="9"/>
      <c r="D6" s="9"/>
      <c r="E6" s="9"/>
      <c r="F6" s="9"/>
      <c r="G6" s="8" t="s">
        <v>812</v>
      </c>
      <c r="H6" s="9"/>
      <c r="I6" s="9"/>
      <c r="J6" s="9"/>
    </row>
    <row r="7" ht="19" customHeight="1" spans="2:10">
      <c r="B7" s="9"/>
      <c r="C7" s="9"/>
      <c r="D7" s="9"/>
      <c r="E7" s="9"/>
      <c r="F7" s="9"/>
      <c r="G7" s="8" t="s">
        <v>770</v>
      </c>
      <c r="H7" s="9"/>
      <c r="I7" s="9"/>
      <c r="J7" s="9"/>
    </row>
    <row r="8" ht="19" customHeight="1" spans="2:10">
      <c r="B8" s="9"/>
      <c r="C8" s="9"/>
      <c r="D8" s="9"/>
      <c r="E8" s="9"/>
      <c r="F8" s="9"/>
      <c r="G8" s="9"/>
      <c r="H8" s="9"/>
      <c r="I8" s="9"/>
      <c r="J8" s="9"/>
    </row>
    <row r="9" ht="19" customHeight="1" spans="2:10">
      <c r="B9" s="9"/>
      <c r="C9" s="9"/>
      <c r="D9" s="9"/>
      <c r="E9" s="9"/>
      <c r="F9" s="9"/>
      <c r="G9" s="9"/>
      <c r="H9" s="9"/>
      <c r="I9" s="9"/>
      <c r="J9" s="9"/>
    </row>
    <row r="10" ht="19" customHeight="1" spans="2:10">
      <c r="B10" s="9"/>
      <c r="C10" s="9"/>
      <c r="D10" s="9"/>
      <c r="E10" s="9"/>
      <c r="F10" s="9"/>
      <c r="G10" s="9"/>
      <c r="H10" s="9"/>
      <c r="I10" s="9"/>
      <c r="J10" s="9"/>
    </row>
    <row r="11" ht="19" customHeight="1" spans="2:10">
      <c r="B11" s="9"/>
      <c r="C11" s="9"/>
      <c r="D11" s="9"/>
      <c r="E11" s="9"/>
      <c r="F11" s="9"/>
      <c r="G11" s="9"/>
      <c r="H11" s="9"/>
      <c r="I11" s="9"/>
      <c r="J11" s="9"/>
    </row>
    <row r="12" ht="19" customHeight="1" spans="2:10">
      <c r="B12" s="9"/>
      <c r="C12" s="9"/>
      <c r="D12" s="9"/>
      <c r="E12" s="9"/>
      <c r="F12" s="9"/>
      <c r="G12" s="9"/>
      <c r="H12" s="9"/>
      <c r="I12" s="9"/>
      <c r="J12" s="9"/>
    </row>
    <row r="13" ht="19" customHeight="1" spans="2:10">
      <c r="B13" s="9"/>
      <c r="C13" s="9"/>
      <c r="D13" s="9"/>
      <c r="E13" s="9"/>
      <c r="F13" s="9"/>
      <c r="G13" s="9"/>
      <c r="H13" s="9"/>
      <c r="I13" s="9"/>
      <c r="J13" s="9"/>
    </row>
    <row r="14" ht="19" customHeight="1" spans="2:10">
      <c r="B14" s="9"/>
      <c r="C14" s="9"/>
      <c r="D14" s="9"/>
      <c r="E14" s="9"/>
      <c r="F14" s="9"/>
      <c r="G14" s="9"/>
      <c r="H14" s="9"/>
      <c r="I14" s="9"/>
      <c r="J14" s="9"/>
    </row>
    <row r="15" ht="19" customHeight="1" spans="2:10">
      <c r="B15" s="9"/>
      <c r="C15" s="9"/>
      <c r="D15" s="9"/>
      <c r="E15" s="9"/>
      <c r="F15" s="9"/>
      <c r="G15" s="9"/>
      <c r="H15" s="9"/>
      <c r="I15" s="9"/>
      <c r="J15" s="9"/>
    </row>
    <row r="16" ht="19" customHeight="1" spans="2:10">
      <c r="B16" s="9"/>
      <c r="C16" s="9"/>
      <c r="D16" s="9"/>
      <c r="E16" s="9"/>
      <c r="F16" s="9"/>
      <c r="G16" s="9"/>
      <c r="H16" s="9"/>
      <c r="I16" s="9"/>
      <c r="J16" s="9"/>
    </row>
    <row r="19" ht="21" customHeight="1" spans="2:2">
      <c r="B19" s="133" t="s">
        <v>813</v>
      </c>
    </row>
    <row r="20" ht="21" customHeight="1" spans="2:2">
      <c r="B20" t="s">
        <v>814</v>
      </c>
    </row>
    <row r="21" ht="21" customHeight="1" spans="2:2">
      <c r="B21" t="s">
        <v>815</v>
      </c>
    </row>
    <row r="22" ht="21" customHeight="1" spans="2:2">
      <c r="B22" t="s">
        <v>816</v>
      </c>
    </row>
    <row r="23" ht="21" customHeight="1" spans="2:2">
      <c r="B23" t="s">
        <v>817</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23"/>
  <sheetViews>
    <sheetView workbookViewId="0">
      <selection activeCell="J9" sqref="J9"/>
    </sheetView>
  </sheetViews>
  <sheetFormatPr defaultColWidth="9.02884615384615" defaultRowHeight="16.8"/>
  <cols>
    <col min="1" max="1" width="4.92307692307692" customWidth="1"/>
    <col min="2" max="2" width="5.11538461538461" customWidth="1"/>
    <col min="3" max="3" width="9.43269230769231" customWidth="1"/>
    <col min="5" max="5" width="8.90384615384615" customWidth="1"/>
    <col min="6" max="6" width="10.8269230769231" customWidth="1"/>
    <col min="7" max="7" width="16.1346153846154" customWidth="1"/>
    <col min="8" max="8" width="13.3557692307692" customWidth="1"/>
    <col min="9" max="9" width="13.4903846153846" customWidth="1"/>
    <col min="10" max="10" width="12.4903846153846" customWidth="1"/>
    <col min="11" max="14" width="12.0192307692308" customWidth="1"/>
    <col min="15" max="15" width="11.2884615384615" customWidth="1"/>
    <col min="16" max="16" width="11.6153846153846" customWidth="1"/>
    <col min="17" max="17" width="11.2307692307692" customWidth="1"/>
    <col min="18" max="18" width="15.9326923076923" customWidth="1"/>
    <col min="19" max="19" width="11.3557692307692" customWidth="1"/>
    <col min="20" max="20" width="8.03846153846154" customWidth="1"/>
    <col min="21" max="21" width="11.3557692307692" customWidth="1"/>
    <col min="22" max="22" width="11.9519230769231" customWidth="1"/>
  </cols>
  <sheetData>
    <row r="1" ht="31" customHeight="1" spans="2:22">
      <c r="C1" t="s">
        <v>775</v>
      </c>
      <c r="G1" t="s">
        <v>778</v>
      </c>
      <c r="H1" s="127"/>
      <c r="I1" s="127"/>
      <c r="J1" s="127" t="s">
        <v>818</v>
      </c>
      <c r="K1" s="127" t="s">
        <v>819</v>
      </c>
      <c r="L1" s="127" t="s">
        <v>820</v>
      </c>
      <c r="M1" s="127" t="s">
        <v>821</v>
      </c>
      <c r="N1" s="127" t="s">
        <v>822</v>
      </c>
      <c r="O1" s="127"/>
      <c r="P1" s="127" t="s">
        <v>823</v>
      </c>
      <c r="Q1" s="127" t="s">
        <v>824</v>
      </c>
      <c r="R1" s="127"/>
      <c r="S1" s="127"/>
      <c r="T1" s="127"/>
      <c r="U1" s="127"/>
    </row>
    <row r="2" ht="39" customHeight="1" spans="2:22">
      <c r="C2" s="7" t="s">
        <v>784</v>
      </c>
      <c r="D2" s="7" t="s">
        <v>825</v>
      </c>
      <c r="E2" s="7" t="s">
        <v>826</v>
      </c>
      <c r="F2" s="7" t="s">
        <v>827</v>
      </c>
      <c r="G2" s="7" t="s">
        <v>388</v>
      </c>
      <c r="H2" s="7" t="s">
        <v>828</v>
      </c>
      <c r="I2" s="7" t="s">
        <v>829</v>
      </c>
      <c r="J2" s="7" t="s">
        <v>830</v>
      </c>
      <c r="K2" s="7" t="s">
        <v>831</v>
      </c>
      <c r="L2" s="7" t="s">
        <v>832</v>
      </c>
      <c r="M2" s="7" t="s">
        <v>833</v>
      </c>
      <c r="N2" s="7" t="s">
        <v>834</v>
      </c>
      <c r="O2" s="7" t="s">
        <v>71</v>
      </c>
      <c r="P2" s="7" t="s">
        <v>72</v>
      </c>
      <c r="Q2" s="7" t="s">
        <v>835</v>
      </c>
      <c r="R2" s="7" t="s">
        <v>696</v>
      </c>
      <c r="S2" s="7" t="s">
        <v>3</v>
      </c>
      <c r="T2" s="7" t="s">
        <v>383</v>
      </c>
      <c r="U2" s="7" t="s">
        <v>836</v>
      </c>
      <c r="V2" s="7" t="s">
        <v>837</v>
      </c>
    </row>
    <row r="3" ht="20" customHeight="1" spans="2:22">
      <c r="C3" s="9"/>
      <c r="D3" s="9"/>
      <c r="E3" s="9"/>
      <c r="F3" s="9"/>
      <c r="G3" s="9"/>
      <c r="H3" s="9"/>
      <c r="I3" s="9"/>
      <c r="J3" s="9"/>
      <c r="K3" s="9"/>
      <c r="L3" s="9"/>
      <c r="M3" s="9"/>
      <c r="N3" s="9"/>
      <c r="O3" s="9"/>
      <c r="P3" s="9"/>
      <c r="Q3" s="9"/>
      <c r="R3" s="9"/>
      <c r="S3" s="9"/>
      <c r="T3" s="8" t="s">
        <v>838</v>
      </c>
      <c r="U3" s="9"/>
      <c r="V3" s="9"/>
    </row>
    <row r="4" ht="20" customHeight="1" spans="2:22">
      <c r="C4" s="9"/>
      <c r="D4" s="9"/>
      <c r="E4" s="9"/>
      <c r="F4" s="9"/>
      <c r="G4" s="9"/>
      <c r="H4" s="9"/>
      <c r="I4" s="9"/>
      <c r="J4" s="9"/>
      <c r="K4" s="9"/>
      <c r="L4" s="9"/>
      <c r="M4" s="9"/>
      <c r="N4" s="9"/>
      <c r="O4" s="9"/>
      <c r="P4" s="9"/>
      <c r="Q4" s="9"/>
      <c r="R4" s="9"/>
      <c r="S4" s="9"/>
      <c r="T4" s="8" t="s">
        <v>839</v>
      </c>
      <c r="U4" s="9"/>
      <c r="V4" s="9"/>
    </row>
    <row r="5" ht="20" customHeight="1" spans="2:22">
      <c r="C5" s="9"/>
      <c r="D5" s="9"/>
      <c r="E5" s="9"/>
      <c r="F5" s="9"/>
      <c r="G5" s="9"/>
      <c r="H5" s="9"/>
      <c r="I5" s="9"/>
      <c r="J5" s="9"/>
      <c r="K5" s="9"/>
      <c r="L5" s="9"/>
      <c r="M5" s="9"/>
      <c r="N5" s="9"/>
      <c r="O5" s="9"/>
      <c r="P5" s="9"/>
      <c r="Q5" s="9"/>
      <c r="R5" s="9"/>
      <c r="S5" s="9"/>
      <c r="T5" s="8" t="s">
        <v>840</v>
      </c>
      <c r="U5" s="9"/>
      <c r="V5" s="9"/>
    </row>
    <row r="6" ht="20" customHeight="1" spans="2:22">
      <c r="C6" s="9"/>
      <c r="D6" s="9"/>
      <c r="E6" s="9"/>
      <c r="F6" s="9"/>
      <c r="G6" s="9"/>
      <c r="H6" s="9"/>
      <c r="I6" s="9"/>
      <c r="J6" s="9"/>
      <c r="K6" s="9"/>
      <c r="L6" s="9"/>
      <c r="M6" s="9"/>
      <c r="N6" s="9"/>
      <c r="O6" s="9"/>
      <c r="P6" s="9"/>
      <c r="Q6" s="9"/>
      <c r="R6" s="9"/>
      <c r="S6" s="9"/>
      <c r="T6" s="8" t="s">
        <v>841</v>
      </c>
      <c r="U6" s="9"/>
      <c r="V6" s="9"/>
    </row>
    <row r="7" ht="20" customHeight="1" spans="2:22">
      <c r="C7" s="9"/>
      <c r="D7" s="9"/>
      <c r="E7" s="9"/>
      <c r="F7" s="9"/>
      <c r="G7" s="9"/>
      <c r="H7" s="9"/>
      <c r="I7" s="9"/>
      <c r="J7" s="9"/>
      <c r="K7" s="9"/>
      <c r="L7" s="9"/>
      <c r="M7" s="9"/>
      <c r="N7" s="9"/>
      <c r="O7" s="9"/>
      <c r="P7" s="9"/>
      <c r="Q7" s="9"/>
      <c r="R7" s="9"/>
      <c r="S7" s="9"/>
      <c r="T7" s="9"/>
      <c r="U7" s="9"/>
      <c r="V7" s="9"/>
    </row>
    <row r="8" ht="20" customHeight="1" spans="2:22">
      <c r="C8" s="9"/>
      <c r="D8" s="9"/>
      <c r="E8" s="9"/>
      <c r="F8" s="9"/>
      <c r="G8" s="9"/>
      <c r="H8" s="9"/>
      <c r="I8" s="9"/>
      <c r="J8" s="9"/>
      <c r="K8" s="9"/>
      <c r="L8" s="9"/>
      <c r="M8" s="9"/>
      <c r="N8" s="9"/>
      <c r="O8" s="9"/>
      <c r="P8" s="9"/>
      <c r="Q8" s="9"/>
      <c r="R8" s="9"/>
      <c r="S8" s="9"/>
      <c r="T8" s="9"/>
      <c r="U8" s="9"/>
      <c r="V8" s="9"/>
    </row>
    <row r="9" ht="20" customHeight="1" spans="2:22">
      <c r="C9" s="9"/>
      <c r="D9" s="9"/>
      <c r="E9" s="9"/>
      <c r="F9" s="9"/>
      <c r="G9" s="9"/>
      <c r="H9" s="9"/>
      <c r="I9" s="9"/>
      <c r="J9" s="9"/>
      <c r="K9" s="9"/>
      <c r="L9" s="9"/>
      <c r="M9" s="9"/>
      <c r="N9" s="9"/>
      <c r="O9" s="9"/>
      <c r="P9" s="9"/>
      <c r="Q9" s="9"/>
      <c r="R9" s="9"/>
      <c r="S9" s="9"/>
      <c r="T9" s="9"/>
      <c r="U9" s="9"/>
      <c r="V9" s="9"/>
    </row>
    <row r="10" ht="20" customHeight="1" spans="2:22">
      <c r="C10" s="9"/>
      <c r="D10" s="9"/>
      <c r="E10" s="9"/>
      <c r="F10" s="9"/>
      <c r="G10" s="9"/>
      <c r="H10" s="9"/>
      <c r="I10" s="9"/>
      <c r="J10" s="9"/>
      <c r="K10" s="9"/>
      <c r="L10" s="9"/>
      <c r="M10" s="9"/>
      <c r="N10" s="9"/>
      <c r="O10" s="9"/>
      <c r="P10" s="9"/>
      <c r="Q10" s="9"/>
      <c r="R10" s="9"/>
      <c r="S10" s="9"/>
      <c r="T10" s="9"/>
      <c r="U10" s="9"/>
      <c r="V10" s="9"/>
    </row>
    <row r="11" ht="20" customHeight="1" spans="2:22">
      <c r="C11" s="9"/>
      <c r="D11" s="9"/>
      <c r="E11" s="9"/>
      <c r="F11" s="9"/>
      <c r="G11" s="9"/>
      <c r="H11" s="9"/>
      <c r="I11" s="9"/>
      <c r="J11" s="9"/>
      <c r="K11" s="9"/>
      <c r="L11" s="9"/>
      <c r="M11" s="9"/>
      <c r="N11" s="9"/>
      <c r="O11" s="9"/>
      <c r="P11" s="9"/>
      <c r="Q11" s="9"/>
      <c r="R11" s="9"/>
      <c r="S11" s="9"/>
      <c r="T11" s="9"/>
      <c r="U11" s="9"/>
      <c r="V11" s="9"/>
    </row>
    <row r="12" ht="20" customHeight="1" spans="2:22">
      <c r="C12" s="9"/>
      <c r="D12" s="9"/>
      <c r="E12" s="9"/>
      <c r="F12" s="9"/>
      <c r="G12" s="9"/>
      <c r="H12" s="9"/>
      <c r="I12" s="9"/>
      <c r="J12" s="9"/>
      <c r="K12" s="9"/>
      <c r="L12" s="9"/>
      <c r="M12" s="9"/>
      <c r="N12" s="9"/>
      <c r="O12" s="9"/>
      <c r="P12" s="9"/>
      <c r="Q12" s="9"/>
      <c r="R12" s="9"/>
      <c r="S12" s="9"/>
      <c r="T12" s="9"/>
      <c r="U12" s="9"/>
      <c r="V12" s="9"/>
    </row>
    <row r="13" ht="20" customHeight="1" spans="2:22">
      <c r="C13" s="9"/>
      <c r="D13" s="9"/>
      <c r="E13" s="9"/>
      <c r="F13" s="9"/>
      <c r="G13" s="9"/>
      <c r="H13" s="9"/>
      <c r="I13" s="9"/>
      <c r="J13" s="9"/>
      <c r="K13" s="9"/>
      <c r="L13" s="9"/>
      <c r="M13" s="9"/>
      <c r="N13" s="9"/>
      <c r="O13" s="9"/>
      <c r="P13" s="9"/>
      <c r="Q13" s="9"/>
      <c r="R13" s="9"/>
      <c r="S13" s="9"/>
      <c r="T13" s="9"/>
      <c r="U13" s="9"/>
      <c r="V13" s="9"/>
    </row>
    <row r="16" ht="16" customHeight="1" spans="2:22">
      <c r="B16" t="s">
        <v>842</v>
      </c>
    </row>
    <row r="17" ht="23" customHeight="1" spans="2:18">
      <c r="B17" t="s">
        <v>843</v>
      </c>
    </row>
    <row r="18" ht="23" customHeight="1" spans="2:18">
      <c r="B18" t="s">
        <v>844</v>
      </c>
    </row>
    <row r="19" ht="23" customHeight="1" spans="2:18">
      <c r="B19" t="s">
        <v>845</v>
      </c>
    </row>
    <row r="20" ht="23" customHeight="1" spans="2:18">
      <c r="B20" t="s">
        <v>846</v>
      </c>
    </row>
    <row r="21" ht="23" customHeight="1" spans="2:18">
      <c r="B21" t="s">
        <v>847</v>
      </c>
    </row>
    <row r="22" ht="55" customHeight="1" spans="2:18">
      <c r="B22" s="131" t="s">
        <v>848</v>
      </c>
      <c r="C22" s="131"/>
      <c r="D22" s="131"/>
      <c r="E22" s="131"/>
      <c r="F22" s="131"/>
      <c r="G22" s="131"/>
      <c r="H22" s="131"/>
      <c r="I22" s="131"/>
      <c r="J22" s="131"/>
      <c r="K22" s="131"/>
      <c r="L22" s="131"/>
      <c r="M22" s="131"/>
      <c r="N22" s="131"/>
      <c r="O22" s="131"/>
      <c r="P22" s="131"/>
      <c r="Q22" s="131"/>
      <c r="R22" s="131"/>
    </row>
    <row r="23" ht="20" customHeight="1" spans="2:18">
      <c r="B23" t="s">
        <v>849</v>
      </c>
    </row>
  </sheetData>
  <mergeCells count="1">
    <mergeCell ref="B22:R22"/>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17"/>
  <sheetViews>
    <sheetView workbookViewId="0">
      <selection activeCell="G5" sqref="G5"/>
    </sheetView>
  </sheetViews>
  <sheetFormatPr defaultColWidth="9.02884615384615" defaultRowHeight="16.8"/>
  <cols>
    <col min="2" max="3" width="11.75" customWidth="1"/>
    <col min="4" max="4" width="12.875" customWidth="1"/>
    <col min="5" max="5" width="11.0865384615385" customWidth="1"/>
    <col min="6" max="6" width="15.4807692307692" customWidth="1"/>
    <col min="7" max="7" width="12.8846153846154" customWidth="1"/>
    <col min="8" max="8" width="13.9423076923077" customWidth="1"/>
    <col min="9" max="9" width="14.875" customWidth="1"/>
    <col min="10" max="10" width="13.6153846153846" customWidth="1"/>
    <col min="11" max="11" width="13.8076923076923" customWidth="1"/>
    <col min="12" max="12" width="12.875" customWidth="1"/>
    <col min="13" max="13" width="13.8173076923077" customWidth="1"/>
    <col min="14" max="15" width="16.8653846153846" customWidth="1"/>
    <col min="16" max="16" width="11.625" customWidth="1"/>
  </cols>
  <sheetData>
    <row r="2" ht="20" customHeight="1" spans="2:16">
      <c r="I2" s="127" t="s">
        <v>850</v>
      </c>
      <c r="J2" s="127" t="s">
        <v>851</v>
      </c>
      <c r="K2" s="127" t="s">
        <v>449</v>
      </c>
      <c r="L2" s="127" t="s">
        <v>852</v>
      </c>
      <c r="M2" s="127" t="s">
        <v>853</v>
      </c>
    </row>
    <row r="3" ht="32" customHeight="1" spans="2:16">
      <c r="B3" s="8" t="s">
        <v>590</v>
      </c>
      <c r="C3" s="8" t="s">
        <v>854</v>
      </c>
      <c r="D3" s="8" t="s">
        <v>451</v>
      </c>
      <c r="E3" s="8" t="s">
        <v>454</v>
      </c>
      <c r="F3" s="8" t="s">
        <v>430</v>
      </c>
      <c r="G3" s="8" t="s">
        <v>431</v>
      </c>
      <c r="H3" s="8" t="s">
        <v>855</v>
      </c>
      <c r="I3" s="8" t="s">
        <v>433</v>
      </c>
      <c r="J3" s="8" t="s">
        <v>856</v>
      </c>
      <c r="K3" s="7" t="s">
        <v>857</v>
      </c>
      <c r="L3" s="7" t="s">
        <v>858</v>
      </c>
      <c r="M3" s="8" t="s">
        <v>383</v>
      </c>
      <c r="N3" s="8" t="s">
        <v>859</v>
      </c>
      <c r="O3" s="8" t="s">
        <v>860</v>
      </c>
      <c r="P3" s="8" t="s">
        <v>861</v>
      </c>
    </row>
    <row r="4" ht="20" customHeight="1" spans="2:16">
      <c r="B4" s="8" t="s">
        <v>862</v>
      </c>
      <c r="C4" s="8">
        <v>2025</v>
      </c>
      <c r="D4" s="8" t="s">
        <v>863</v>
      </c>
      <c r="E4" s="8" t="s">
        <v>863</v>
      </c>
      <c r="F4" s="8" t="s">
        <v>437</v>
      </c>
      <c r="G4" s="8" t="s">
        <v>86</v>
      </c>
      <c r="H4" s="128">
        <v>500000</v>
      </c>
      <c r="I4" s="8">
        <v>0.1</v>
      </c>
      <c r="J4" s="128">
        <f>ROUND(H4/(1-I4)*I4,2)</f>
        <v>55555.56</v>
      </c>
      <c r="K4" s="128">
        <v>60000</v>
      </c>
      <c r="L4" s="128">
        <f>MIN(J4:K4)</f>
        <v>55555.56</v>
      </c>
      <c r="M4" s="8" t="s">
        <v>864</v>
      </c>
      <c r="N4" s="129">
        <v>45817.75</v>
      </c>
      <c r="O4" s="129">
        <v>45818.75</v>
      </c>
      <c r="P4" s="130" t="s">
        <v>865</v>
      </c>
    </row>
    <row r="5" ht="20" customHeight="1" spans="2:16">
      <c r="B5" s="8" t="s">
        <v>862</v>
      </c>
      <c r="C5" s="8">
        <v>2025</v>
      </c>
      <c r="D5" s="8" t="s">
        <v>866</v>
      </c>
      <c r="E5" s="8" t="s">
        <v>505</v>
      </c>
      <c r="F5" s="8" t="s">
        <v>437</v>
      </c>
      <c r="G5" s="8" t="s">
        <v>86</v>
      </c>
      <c r="H5" s="128">
        <v>200000</v>
      </c>
      <c r="I5" s="8" t="s">
        <v>863</v>
      </c>
      <c r="J5" s="8" t="s">
        <v>863</v>
      </c>
      <c r="K5" s="128">
        <v>10000</v>
      </c>
      <c r="L5" s="128">
        <f>ROUND(L4/K4*K5,2)</f>
        <v>9259.26</v>
      </c>
      <c r="M5" s="8" t="s">
        <v>864</v>
      </c>
      <c r="N5" s="129">
        <v>45817.75</v>
      </c>
      <c r="O5" s="129">
        <v>45818.75</v>
      </c>
      <c r="P5" s="130" t="s">
        <v>865</v>
      </c>
    </row>
    <row r="6" ht="20" customHeight="1" spans="2:16">
      <c r="B6" s="8" t="s">
        <v>862</v>
      </c>
      <c r="C6" s="8">
        <v>2025</v>
      </c>
      <c r="D6" s="8" t="s">
        <v>863</v>
      </c>
      <c r="E6" s="8" t="s">
        <v>863</v>
      </c>
      <c r="F6" s="8" t="s">
        <v>441</v>
      </c>
      <c r="G6" s="8" t="s">
        <v>513</v>
      </c>
      <c r="H6" s="128">
        <v>500000</v>
      </c>
      <c r="I6" s="8">
        <v>0.2</v>
      </c>
      <c r="J6" s="128">
        <f>ROUND(H6/(1-I6)*I6,2)</f>
        <v>125000</v>
      </c>
      <c r="K6" s="128">
        <v>60000</v>
      </c>
      <c r="L6" s="128">
        <f>MIN(J6:K6)</f>
        <v>60000</v>
      </c>
      <c r="M6" s="8" t="s">
        <v>867</v>
      </c>
      <c r="N6" s="129">
        <v>45816.75</v>
      </c>
      <c r="O6" s="129"/>
      <c r="P6" s="9"/>
    </row>
    <row r="7" ht="20" customHeight="1" spans="2:16">
      <c r="B7" s="9"/>
      <c r="C7" s="9"/>
      <c r="D7" s="9"/>
      <c r="E7" s="9"/>
      <c r="F7" s="9"/>
      <c r="G7" s="9"/>
      <c r="H7" s="9"/>
      <c r="I7" s="9"/>
      <c r="J7" s="9"/>
      <c r="K7" s="9"/>
      <c r="L7" s="8"/>
      <c r="M7" s="9"/>
      <c r="N7" s="8"/>
      <c r="O7" s="8"/>
      <c r="P7" s="9"/>
    </row>
    <row r="8" ht="19" customHeight="1" spans="2:16">
      <c r="B8" s="9"/>
      <c r="C8" s="9"/>
      <c r="D8" s="9"/>
      <c r="E8" s="9"/>
      <c r="F8" s="9"/>
      <c r="G8" s="9"/>
      <c r="H8" s="9"/>
      <c r="I8" s="9"/>
      <c r="J8" s="9"/>
      <c r="K8" s="9"/>
      <c r="L8" s="9"/>
      <c r="M8" s="9"/>
      <c r="N8" s="8"/>
      <c r="O8" s="8"/>
      <c r="P8" s="9"/>
    </row>
    <row r="9" ht="18" customHeight="1" spans="2:16">
      <c r="N9" s="127"/>
      <c r="O9" s="127"/>
    </row>
    <row r="10" ht="18" customHeight="1" spans="2:16">
      <c r="N10" s="127"/>
      <c r="O10" s="127"/>
    </row>
    <row r="11" ht="19" customHeight="1" spans="2:16">
      <c r="B11" t="s">
        <v>868</v>
      </c>
      <c r="N11" s="127"/>
      <c r="O11" s="127"/>
    </row>
    <row r="12" ht="55" customHeight="1" spans="2:16">
      <c r="B12" s="131" t="s">
        <v>869</v>
      </c>
      <c r="C12" s="131"/>
      <c r="D12" s="131"/>
      <c r="E12" s="131"/>
      <c r="F12" s="131"/>
      <c r="G12" s="131"/>
      <c r="H12" s="131"/>
      <c r="I12" s="131"/>
      <c r="J12" s="131"/>
      <c r="K12" s="131"/>
      <c r="L12" s="131"/>
      <c r="M12" s="131"/>
      <c r="N12" s="127"/>
      <c r="O12" s="127"/>
    </row>
    <row r="13" ht="19" customHeight="1" spans="2:16">
      <c r="B13" t="s">
        <v>870</v>
      </c>
      <c r="N13" s="127"/>
      <c r="O13" s="127"/>
    </row>
    <row r="14" ht="22" customHeight="1" spans="2:16">
      <c r="B14" t="s">
        <v>871</v>
      </c>
    </row>
    <row r="15" ht="22" customHeight="1" spans="2:16">
      <c r="B15" t="s">
        <v>872</v>
      </c>
    </row>
    <row r="16" ht="19" customHeight="1" spans="2:16">
      <c r="B16" t="s">
        <v>873</v>
      </c>
    </row>
    <row r="17" ht="19" customHeight="1"/>
  </sheetData>
  <mergeCells count="1">
    <mergeCell ref="B12:M1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43"/>
  <sheetViews>
    <sheetView zoomScaleSheetLayoutView="60" workbookViewId="0">
      <selection activeCell="G15" sqref="G15"/>
    </sheetView>
  </sheetViews>
  <sheetFormatPr defaultColWidth="8.5" defaultRowHeight="17.6"/>
  <cols>
    <col min="1" max="2" width="6.25" style="88" customWidth="1"/>
    <col min="3" max="3" width="15.4038461538462" style="88" customWidth="1"/>
    <col min="4" max="4" width="12.0288461538462" style="88" customWidth="1"/>
    <col min="5" max="6" width="9.17307692307692" style="88" customWidth="1"/>
    <col min="7" max="7" width="13.8269230769231" style="88" customWidth="1"/>
    <col min="8" max="12" width="12.0769230769231" style="88" customWidth="1"/>
    <col min="13" max="13" width="13.4903846153846" style="88" customWidth="1"/>
    <col min="14" max="14" width="12.9423076923077" style="88" customWidth="1"/>
    <col min="15" max="44" width="8.625" style="88" customWidth="1"/>
    <col min="45" max="255" width="8.5" style="88"/>
    <col min="256" max="16384" width="8.5" style="33"/>
  </cols>
  <sheetData>
    <row r="1" ht="22" customHeight="1" spans="1:14">
      <c r="A1" s="94"/>
      <c r="B1" s="94"/>
      <c r="C1" s="95"/>
      <c r="D1" s="95"/>
      <c r="E1" s="95"/>
      <c r="F1" s="95"/>
      <c r="G1" s="95"/>
      <c r="H1" s="95"/>
      <c r="I1" s="95"/>
      <c r="J1" s="95"/>
      <c r="K1" s="95"/>
      <c r="L1" s="95"/>
      <c r="M1" s="95"/>
      <c r="N1" s="95"/>
    </row>
    <row r="2" ht="29.25" customHeight="1" spans="1:14">
      <c r="A2" s="96" t="s">
        <v>874</v>
      </c>
      <c r="B2" s="96"/>
      <c r="C2" s="96"/>
      <c r="D2" s="96"/>
      <c r="E2" s="96"/>
      <c r="F2" s="96"/>
      <c r="G2" s="96"/>
      <c r="H2" s="96"/>
      <c r="I2" s="96"/>
      <c r="J2" s="96"/>
      <c r="K2" s="96"/>
      <c r="L2" s="96"/>
      <c r="M2" s="96"/>
      <c r="N2" s="96"/>
    </row>
    <row r="3" s="41" customFormat="1" ht="20.1" customHeight="1" spans="1:14">
      <c r="A3" s="97" t="s">
        <v>875</v>
      </c>
      <c r="B3" s="97"/>
      <c r="C3" s="97"/>
      <c r="D3" s="98"/>
      <c r="E3" s="98"/>
      <c r="F3" s="41" t="s">
        <v>876</v>
      </c>
      <c r="G3" s="99" t="s">
        <v>877</v>
      </c>
      <c r="H3" s="100" t="s">
        <v>878</v>
      </c>
      <c r="I3" s="101"/>
      <c r="J3" s="41" t="s">
        <v>879</v>
      </c>
      <c r="K3" s="101"/>
      <c r="M3" s="41" t="s">
        <v>880</v>
      </c>
    </row>
    <row r="4" ht="27" customHeight="1" spans="1:14">
      <c r="A4" s="102" t="s">
        <v>881</v>
      </c>
      <c r="B4" s="103"/>
      <c r="C4" s="103"/>
      <c r="D4" s="103"/>
      <c r="E4" s="103" t="s">
        <v>882</v>
      </c>
      <c r="F4" s="103" t="s">
        <v>883</v>
      </c>
      <c r="G4" s="103" t="s">
        <v>884</v>
      </c>
      <c r="H4" s="103"/>
      <c r="I4" s="103"/>
      <c r="J4" s="103"/>
      <c r="K4" s="103"/>
      <c r="L4" s="103"/>
      <c r="M4" s="103"/>
      <c r="N4" s="104"/>
    </row>
    <row r="5" ht="36" customHeight="1" spans="1:14">
      <c r="A5" s="105"/>
      <c r="B5" s="106"/>
      <c r="C5" s="106"/>
      <c r="D5" s="106"/>
      <c r="E5" s="106"/>
      <c r="F5" s="106"/>
      <c r="G5" s="107" t="s">
        <v>885</v>
      </c>
      <c r="H5" s="107" t="s">
        <v>886</v>
      </c>
      <c r="I5" s="107" t="s">
        <v>887</v>
      </c>
      <c r="J5" s="107" t="s">
        <v>888</v>
      </c>
      <c r="K5" s="107" t="s">
        <v>889</v>
      </c>
      <c r="L5" s="107" t="s">
        <v>890</v>
      </c>
      <c r="M5" s="106" t="s">
        <v>891</v>
      </c>
      <c r="N5" s="108"/>
    </row>
    <row r="6" s="88" customFormat="1" ht="152.1" customHeight="1" spans="1:14">
      <c r="A6" s="105" t="s">
        <v>892</v>
      </c>
      <c r="B6" s="106" t="s">
        <v>893</v>
      </c>
      <c r="C6" s="106" t="s">
        <v>894</v>
      </c>
      <c r="D6" s="106" t="s">
        <v>388</v>
      </c>
      <c r="E6" s="106"/>
      <c r="F6" s="106"/>
      <c r="G6" s="109"/>
      <c r="H6" s="109"/>
      <c r="I6" s="109"/>
      <c r="J6" s="109"/>
      <c r="K6" s="109"/>
      <c r="L6" s="109"/>
      <c r="M6" s="106" t="s">
        <v>895</v>
      </c>
      <c r="N6" s="108" t="s">
        <v>896</v>
      </c>
    </row>
    <row r="7" ht="17.25" customHeight="1" spans="1:14">
      <c r="A7" s="105"/>
      <c r="B7" s="106"/>
      <c r="C7" s="106"/>
      <c r="D7" s="106"/>
      <c r="E7" s="110"/>
      <c r="F7" s="110"/>
      <c r="G7" s="110"/>
      <c r="H7" s="110"/>
      <c r="I7" s="110"/>
      <c r="J7" s="110"/>
      <c r="K7" s="110"/>
      <c r="L7" s="110"/>
      <c r="M7" s="110"/>
      <c r="N7" s="108"/>
    </row>
    <row r="8" ht="17.25" customHeight="1" spans="1:14">
      <c r="A8" s="105"/>
      <c r="B8" s="106"/>
      <c r="C8" s="106"/>
      <c r="D8" s="106"/>
      <c r="E8" s="110"/>
      <c r="F8" s="110"/>
      <c r="G8" s="110"/>
      <c r="H8" s="110"/>
      <c r="I8" s="110"/>
      <c r="J8" s="110"/>
      <c r="K8" s="110"/>
      <c r="L8" s="110"/>
      <c r="M8" s="110"/>
      <c r="N8" s="108"/>
    </row>
    <row r="9" ht="17.25" customHeight="1" spans="1:14">
      <c r="A9" s="105"/>
      <c r="B9" s="106"/>
      <c r="C9" s="106"/>
      <c r="D9" s="106"/>
      <c r="E9" s="110"/>
      <c r="F9" s="110"/>
      <c r="G9" s="110"/>
      <c r="H9" s="110"/>
      <c r="I9" s="110"/>
      <c r="J9" s="110"/>
      <c r="K9" s="110"/>
      <c r="L9" s="110"/>
      <c r="M9" s="110"/>
      <c r="N9" s="108"/>
    </row>
    <row r="10" ht="17.25" customHeight="1" spans="1:14">
      <c r="A10" s="105"/>
      <c r="B10" s="106"/>
      <c r="C10" s="106"/>
      <c r="D10" s="106"/>
      <c r="E10" s="110"/>
      <c r="F10" s="110"/>
      <c r="G10" s="110"/>
      <c r="H10" s="110"/>
      <c r="I10" s="110"/>
      <c r="J10" s="110"/>
      <c r="K10" s="110"/>
      <c r="L10" s="110"/>
      <c r="M10" s="110"/>
      <c r="N10" s="108"/>
    </row>
    <row r="11" ht="17.25" customHeight="1" spans="1:14">
      <c r="A11" s="111"/>
      <c r="B11" s="112"/>
      <c r="C11" s="112"/>
      <c r="D11" s="112"/>
      <c r="E11" s="113"/>
      <c r="F11" s="113"/>
      <c r="G11" s="113"/>
      <c r="H11" s="113"/>
      <c r="I11" s="113"/>
      <c r="J11" s="113"/>
      <c r="K11" s="113"/>
      <c r="L11" s="113"/>
      <c r="M11" s="113"/>
      <c r="N11" s="114"/>
    </row>
    <row r="12" ht="17.25" customHeight="1" spans="1:14">
      <c r="A12" s="111"/>
      <c r="B12" s="112"/>
      <c r="C12" s="112"/>
      <c r="D12" s="112"/>
      <c r="E12" s="113"/>
      <c r="F12" s="113"/>
      <c r="G12" s="113"/>
      <c r="H12" s="113"/>
      <c r="I12" s="113"/>
      <c r="J12" s="113"/>
      <c r="K12" s="113"/>
      <c r="L12" s="113"/>
      <c r="M12" s="113"/>
      <c r="N12" s="114"/>
    </row>
    <row r="13" ht="17.25" customHeight="1" spans="1:14">
      <c r="A13" s="111"/>
      <c r="B13" s="112"/>
      <c r="C13" s="112"/>
      <c r="D13" s="112"/>
      <c r="E13" s="113"/>
      <c r="F13" s="113"/>
      <c r="G13" s="113"/>
      <c r="H13" s="113"/>
      <c r="I13" s="113"/>
      <c r="J13" s="113"/>
      <c r="K13" s="113"/>
      <c r="L13" s="113"/>
      <c r="M13" s="113"/>
      <c r="N13" s="114"/>
    </row>
    <row r="14" ht="17.25" customHeight="1" spans="1:14">
      <c r="A14" s="115" t="s">
        <v>897</v>
      </c>
      <c r="B14" s="116"/>
      <c r="C14" s="116"/>
      <c r="D14" s="116"/>
      <c r="E14" s="117"/>
      <c r="F14" s="117"/>
      <c r="G14" s="117"/>
      <c r="H14" s="117"/>
      <c r="I14" s="117"/>
      <c r="J14" s="117"/>
      <c r="K14" s="117"/>
      <c r="L14" s="117"/>
      <c r="M14" s="117"/>
      <c r="N14" s="118"/>
    </row>
    <row r="15" ht="31" customHeight="1" spans="1:14">
      <c r="A15" s="88" t="s">
        <v>898</v>
      </c>
      <c r="K15" s="88" t="s">
        <v>899</v>
      </c>
    </row>
    <row r="16" ht="25" customHeight="1"/>
    <row r="17" s="89" customFormat="1" ht="18" customHeight="1" spans="1:255">
      <c r="A17" s="119" t="s">
        <v>900</v>
      </c>
      <c r="B17" s="119"/>
      <c r="C17" s="119"/>
      <c r="D17" s="119"/>
      <c r="E17" s="119"/>
      <c r="F17" s="119"/>
      <c r="G17" s="119"/>
      <c r="H17" s="119"/>
      <c r="I17" s="119"/>
      <c r="J17" s="119"/>
      <c r="K17" s="119"/>
      <c r="L17" s="119"/>
      <c r="M17" s="119"/>
      <c r="N17" s="119"/>
      <c r="O17" s="120"/>
      <c r="P17" s="120"/>
      <c r="Q17" s="120"/>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1"/>
      <c r="DZ17" s="91"/>
      <c r="EA17" s="91"/>
      <c r="EB17" s="91"/>
      <c r="EC17" s="91"/>
      <c r="ED17" s="91"/>
      <c r="EE17" s="91"/>
      <c r="EF17" s="91"/>
      <c r="EG17" s="91"/>
      <c r="EH17" s="91"/>
      <c r="EI17" s="91"/>
      <c r="EJ17" s="91"/>
      <c r="EK17" s="91"/>
      <c r="EL17" s="91"/>
      <c r="EM17" s="91"/>
      <c r="EN17" s="91"/>
      <c r="EO17" s="91"/>
      <c r="EP17" s="91"/>
      <c r="EQ17" s="91"/>
      <c r="ER17" s="91"/>
      <c r="ES17" s="91"/>
      <c r="ET17" s="91"/>
      <c r="EU17" s="91"/>
      <c r="EV17" s="91"/>
      <c r="EW17" s="91"/>
      <c r="EX17" s="91"/>
      <c r="EY17" s="91"/>
      <c r="EZ17" s="91"/>
      <c r="FA17" s="91"/>
      <c r="FB17" s="91"/>
      <c r="FC17" s="91"/>
      <c r="FD17" s="91"/>
      <c r="FE17" s="91"/>
      <c r="FF17" s="91"/>
      <c r="FG17" s="91"/>
      <c r="FH17" s="91"/>
      <c r="FI17" s="91"/>
      <c r="FJ17" s="91"/>
      <c r="FK17" s="91"/>
      <c r="FL17" s="91"/>
      <c r="FM17" s="91"/>
      <c r="FN17" s="91"/>
      <c r="FO17" s="91"/>
      <c r="FP17" s="91"/>
      <c r="FQ17" s="91"/>
      <c r="FR17" s="91"/>
      <c r="FS17" s="91"/>
      <c r="FT17" s="91"/>
      <c r="FU17" s="91"/>
      <c r="FV17" s="91"/>
      <c r="FW17" s="91"/>
      <c r="FX17" s="91"/>
      <c r="FY17" s="91"/>
      <c r="FZ17" s="91"/>
      <c r="GA17" s="91"/>
      <c r="GB17" s="91"/>
      <c r="GC17" s="91"/>
      <c r="GD17" s="91"/>
      <c r="GE17" s="91"/>
      <c r="GF17" s="91"/>
      <c r="GG17" s="91"/>
      <c r="GH17" s="91"/>
      <c r="GI17" s="91"/>
      <c r="GJ17" s="91"/>
      <c r="GK17" s="91"/>
      <c r="GL17" s="91"/>
      <c r="GM17" s="91"/>
      <c r="GN17" s="91"/>
      <c r="GO17" s="91"/>
      <c r="GP17" s="91"/>
      <c r="GQ17" s="91"/>
      <c r="GR17" s="91"/>
      <c r="GS17" s="91"/>
      <c r="GT17" s="91"/>
      <c r="GU17" s="91"/>
      <c r="GV17" s="91"/>
      <c r="GW17" s="91"/>
      <c r="GX17" s="91"/>
      <c r="GY17" s="91"/>
      <c r="GZ17" s="91"/>
      <c r="HA17" s="91"/>
      <c r="HB17" s="91"/>
      <c r="HC17" s="91"/>
      <c r="HD17" s="91"/>
      <c r="HE17" s="91"/>
      <c r="HF17" s="91"/>
      <c r="HG17" s="91"/>
      <c r="HH17" s="91"/>
      <c r="HI17" s="91"/>
      <c r="HJ17" s="91"/>
      <c r="HK17" s="91"/>
      <c r="HL17" s="91"/>
      <c r="HM17" s="91"/>
      <c r="HN17" s="91"/>
      <c r="HO17" s="91"/>
      <c r="HP17" s="91"/>
      <c r="HQ17" s="91"/>
      <c r="HR17" s="91"/>
      <c r="HS17" s="91"/>
      <c r="HT17" s="91"/>
      <c r="HU17" s="91"/>
      <c r="HV17" s="91"/>
      <c r="HW17" s="91"/>
      <c r="HX17" s="91"/>
      <c r="HY17" s="91"/>
      <c r="HZ17" s="91"/>
      <c r="IA17" s="91"/>
      <c r="IB17" s="91"/>
      <c r="IC17" s="91"/>
      <c r="ID17" s="91"/>
      <c r="IE17" s="91"/>
      <c r="IF17" s="91"/>
      <c r="IG17" s="91"/>
      <c r="IH17" s="91"/>
      <c r="II17" s="91"/>
      <c r="IJ17" s="91"/>
      <c r="IK17" s="91"/>
      <c r="IL17" s="91"/>
      <c r="IM17" s="91"/>
      <c r="IN17" s="91"/>
      <c r="IO17" s="91"/>
      <c r="IP17" s="91"/>
      <c r="IQ17" s="91"/>
      <c r="IR17" s="91"/>
      <c r="IS17" s="91"/>
      <c r="IT17" s="91"/>
      <c r="IU17" s="91"/>
    </row>
    <row r="18" s="90" customFormat="1" ht="18" customHeight="1" spans="1:255">
      <c r="A18" s="121" t="s">
        <v>901</v>
      </c>
      <c r="B18" s="121"/>
      <c r="C18" s="121"/>
      <c r="D18" s="121"/>
      <c r="E18" s="121"/>
      <c r="F18" s="121"/>
      <c r="G18" s="121"/>
      <c r="H18" s="121"/>
      <c r="I18" s="121"/>
      <c r="J18" s="121"/>
      <c r="K18" s="121"/>
      <c r="L18" s="121"/>
      <c r="M18" s="121"/>
      <c r="N18" s="121"/>
      <c r="O18" s="122"/>
      <c r="P18" s="122"/>
      <c r="Q18" s="122"/>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1"/>
      <c r="DT18" s="91"/>
      <c r="DU18" s="91"/>
      <c r="DV18" s="91"/>
      <c r="DW18" s="91"/>
      <c r="DX18" s="91"/>
      <c r="DY18" s="91"/>
      <c r="DZ18" s="91"/>
      <c r="EA18" s="91"/>
      <c r="EB18" s="91"/>
      <c r="EC18" s="91"/>
      <c r="ED18" s="91"/>
      <c r="EE18" s="91"/>
      <c r="EF18" s="91"/>
      <c r="EG18" s="91"/>
      <c r="EH18" s="91"/>
      <c r="EI18" s="91"/>
      <c r="EJ18" s="91"/>
      <c r="EK18" s="91"/>
      <c r="EL18" s="91"/>
      <c r="EM18" s="91"/>
      <c r="EN18" s="91"/>
      <c r="EO18" s="91"/>
      <c r="EP18" s="91"/>
      <c r="EQ18" s="91"/>
      <c r="ER18" s="91"/>
      <c r="ES18" s="91"/>
      <c r="ET18" s="91"/>
      <c r="EU18" s="91"/>
      <c r="EV18" s="91"/>
      <c r="EW18" s="91"/>
      <c r="EX18" s="91"/>
      <c r="EY18" s="91"/>
      <c r="EZ18" s="91"/>
      <c r="FA18" s="91"/>
      <c r="FB18" s="91"/>
      <c r="FC18" s="91"/>
      <c r="FD18" s="91"/>
      <c r="FE18" s="91"/>
      <c r="FF18" s="91"/>
      <c r="FG18" s="91"/>
      <c r="FH18" s="91"/>
      <c r="FI18" s="91"/>
      <c r="FJ18" s="91"/>
      <c r="FK18" s="91"/>
      <c r="FL18" s="91"/>
      <c r="FM18" s="91"/>
      <c r="FN18" s="91"/>
      <c r="FO18" s="91"/>
      <c r="FP18" s="91"/>
      <c r="FQ18" s="91"/>
      <c r="FR18" s="91"/>
      <c r="FS18" s="91"/>
      <c r="FT18" s="91"/>
      <c r="FU18" s="91"/>
      <c r="FV18" s="91"/>
      <c r="FW18" s="91"/>
      <c r="FX18" s="91"/>
      <c r="FY18" s="91"/>
      <c r="FZ18" s="91"/>
      <c r="GA18" s="91"/>
      <c r="GB18" s="91"/>
      <c r="GC18" s="91"/>
      <c r="GD18" s="91"/>
      <c r="GE18" s="91"/>
      <c r="GF18" s="91"/>
      <c r="GG18" s="91"/>
      <c r="GH18" s="91"/>
      <c r="GI18" s="91"/>
      <c r="GJ18" s="91"/>
      <c r="GK18" s="91"/>
      <c r="GL18" s="91"/>
      <c r="GM18" s="91"/>
      <c r="GN18" s="91"/>
      <c r="GO18" s="91"/>
      <c r="GP18" s="91"/>
      <c r="GQ18" s="91"/>
      <c r="GR18" s="91"/>
      <c r="GS18" s="91"/>
      <c r="GT18" s="91"/>
      <c r="GU18" s="91"/>
      <c r="GV18" s="91"/>
      <c r="GW18" s="91"/>
      <c r="GX18" s="91"/>
      <c r="GY18" s="91"/>
      <c r="GZ18" s="91"/>
      <c r="HA18" s="91"/>
      <c r="HB18" s="91"/>
      <c r="HC18" s="91"/>
      <c r="HD18" s="91"/>
      <c r="HE18" s="91"/>
      <c r="HF18" s="91"/>
      <c r="HG18" s="91"/>
      <c r="HH18" s="91"/>
      <c r="HI18" s="91"/>
      <c r="HJ18" s="91"/>
      <c r="HK18" s="91"/>
      <c r="HL18" s="91"/>
      <c r="HM18" s="91"/>
      <c r="HN18" s="91"/>
      <c r="HO18" s="91"/>
      <c r="HP18" s="91"/>
      <c r="HQ18" s="91"/>
      <c r="HR18" s="91"/>
      <c r="HS18" s="91"/>
      <c r="HT18" s="91"/>
      <c r="HU18" s="91"/>
      <c r="HV18" s="91"/>
      <c r="HW18" s="91"/>
      <c r="HX18" s="91"/>
      <c r="HY18" s="91"/>
      <c r="HZ18" s="91"/>
      <c r="IA18" s="91"/>
      <c r="IB18" s="91"/>
      <c r="IC18" s="91"/>
      <c r="ID18" s="91"/>
      <c r="IE18" s="91"/>
      <c r="IF18" s="91"/>
      <c r="IG18" s="91"/>
      <c r="IH18" s="91"/>
      <c r="II18" s="91"/>
      <c r="IJ18" s="91"/>
      <c r="IK18" s="91"/>
      <c r="IL18" s="91"/>
      <c r="IM18" s="91"/>
      <c r="IN18" s="91"/>
      <c r="IO18" s="91"/>
      <c r="IP18" s="91"/>
      <c r="IQ18" s="91"/>
      <c r="IR18" s="91"/>
      <c r="IS18" s="91"/>
      <c r="IT18" s="91"/>
      <c r="IU18" s="91"/>
    </row>
    <row r="19" s="90" customFormat="1" ht="90" customHeight="1" spans="1:255">
      <c r="A19" s="123" t="s">
        <v>902</v>
      </c>
      <c r="B19" s="123"/>
      <c r="C19" s="123"/>
      <c r="D19" s="123"/>
      <c r="E19" s="123"/>
      <c r="F19" s="123"/>
      <c r="G19" s="123"/>
      <c r="H19" s="123"/>
      <c r="I19" s="123"/>
      <c r="J19" s="123"/>
      <c r="K19" s="123"/>
      <c r="L19" s="123"/>
      <c r="M19" s="123"/>
      <c r="N19" s="123"/>
      <c r="O19" s="124"/>
      <c r="P19" s="124"/>
      <c r="Q19" s="124"/>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c r="HT19" s="91"/>
      <c r="HU19" s="91"/>
      <c r="HV19" s="91"/>
      <c r="HW19" s="91"/>
      <c r="HX19" s="91"/>
      <c r="HY19" s="91"/>
      <c r="HZ19" s="91"/>
      <c r="IA19" s="91"/>
      <c r="IB19" s="91"/>
      <c r="IC19" s="91"/>
      <c r="ID19" s="91"/>
      <c r="IE19" s="91"/>
      <c r="IF19" s="91"/>
      <c r="IG19" s="91"/>
      <c r="IH19" s="91"/>
      <c r="II19" s="91"/>
      <c r="IJ19" s="91"/>
      <c r="IK19" s="91"/>
      <c r="IL19" s="91"/>
      <c r="IM19" s="91"/>
      <c r="IN19" s="91"/>
      <c r="IO19" s="91"/>
      <c r="IP19" s="91"/>
      <c r="IQ19" s="91"/>
      <c r="IR19" s="91"/>
      <c r="IS19" s="91"/>
      <c r="IT19" s="91"/>
      <c r="IU19" s="91"/>
    </row>
    <row r="20" s="90" customFormat="1" ht="18" customHeight="1" spans="1:255">
      <c r="A20" s="123" t="s">
        <v>903</v>
      </c>
      <c r="B20" s="123"/>
      <c r="C20" s="123"/>
      <c r="D20" s="123"/>
      <c r="E20" s="123"/>
      <c r="F20" s="123"/>
      <c r="G20" s="123"/>
      <c r="H20" s="123"/>
      <c r="I20" s="123"/>
      <c r="J20" s="123"/>
      <c r="K20" s="123"/>
      <c r="L20" s="123"/>
      <c r="M20" s="123"/>
      <c r="N20" s="123"/>
      <c r="O20" s="124"/>
      <c r="P20" s="124"/>
      <c r="Q20" s="124"/>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c r="DY20" s="91"/>
      <c r="DZ20" s="91"/>
      <c r="EA20" s="91"/>
      <c r="EB20" s="91"/>
      <c r="EC20" s="91"/>
      <c r="ED20" s="91"/>
      <c r="EE20" s="91"/>
      <c r="EF20" s="91"/>
      <c r="EG20" s="91"/>
      <c r="EH20" s="91"/>
      <c r="EI20" s="91"/>
      <c r="EJ20" s="91"/>
      <c r="EK20" s="91"/>
      <c r="EL20" s="91"/>
      <c r="EM20" s="91"/>
      <c r="EN20" s="91"/>
      <c r="EO20" s="91"/>
      <c r="EP20" s="91"/>
      <c r="EQ20" s="91"/>
      <c r="ER20" s="91"/>
      <c r="ES20" s="91"/>
      <c r="ET20" s="91"/>
      <c r="EU20" s="91"/>
      <c r="EV20" s="91"/>
      <c r="EW20" s="91"/>
      <c r="EX20" s="91"/>
      <c r="EY20" s="91"/>
      <c r="EZ20" s="91"/>
      <c r="FA20" s="91"/>
      <c r="FB20" s="91"/>
      <c r="FC20" s="91"/>
      <c r="FD20" s="91"/>
      <c r="FE20" s="91"/>
      <c r="FF20" s="91"/>
      <c r="FG20" s="91"/>
      <c r="FH20" s="91"/>
      <c r="FI20" s="91"/>
      <c r="FJ20" s="91"/>
      <c r="FK20" s="91"/>
      <c r="FL20" s="91"/>
      <c r="FM20" s="91"/>
      <c r="FN20" s="91"/>
      <c r="FO20" s="91"/>
      <c r="FP20" s="91"/>
      <c r="FQ20" s="91"/>
      <c r="FR20" s="91"/>
      <c r="FS20" s="91"/>
      <c r="FT20" s="91"/>
      <c r="FU20" s="91"/>
      <c r="FV20" s="91"/>
      <c r="FW20" s="91"/>
      <c r="FX20" s="91"/>
      <c r="FY20" s="91"/>
      <c r="FZ20" s="91"/>
      <c r="GA20" s="91"/>
      <c r="GB20" s="91"/>
      <c r="GC20" s="91"/>
      <c r="GD20" s="91"/>
      <c r="GE20" s="91"/>
      <c r="GF20" s="91"/>
      <c r="GG20" s="91"/>
      <c r="GH20" s="91"/>
      <c r="GI20" s="91"/>
      <c r="GJ20" s="91"/>
      <c r="GK20" s="91"/>
      <c r="GL20" s="91"/>
      <c r="GM20" s="91"/>
      <c r="GN20" s="91"/>
      <c r="GO20" s="91"/>
      <c r="GP20" s="91"/>
      <c r="GQ20" s="91"/>
      <c r="GR20" s="91"/>
      <c r="GS20" s="91"/>
      <c r="GT20" s="91"/>
      <c r="GU20" s="91"/>
      <c r="GV20" s="91"/>
      <c r="GW20" s="91"/>
      <c r="GX20" s="91"/>
      <c r="GY20" s="91"/>
      <c r="GZ20" s="91"/>
      <c r="HA20" s="91"/>
      <c r="HB20" s="91"/>
      <c r="HC20" s="91"/>
      <c r="HD20" s="91"/>
      <c r="HE20" s="91"/>
      <c r="HF20" s="91"/>
      <c r="HG20" s="91"/>
      <c r="HH20" s="91"/>
      <c r="HI20" s="91"/>
      <c r="HJ20" s="91"/>
      <c r="HK20" s="91"/>
      <c r="HL20" s="91"/>
      <c r="HM20" s="91"/>
      <c r="HN20" s="91"/>
      <c r="HO20" s="91"/>
      <c r="HP20" s="91"/>
      <c r="HQ20" s="91"/>
      <c r="HR20" s="91"/>
      <c r="HS20" s="91"/>
      <c r="HT20" s="91"/>
      <c r="HU20" s="91"/>
      <c r="HV20" s="91"/>
      <c r="HW20" s="91"/>
      <c r="HX20" s="91"/>
      <c r="HY20" s="91"/>
      <c r="HZ20" s="91"/>
      <c r="IA20" s="91"/>
      <c r="IB20" s="91"/>
      <c r="IC20" s="91"/>
      <c r="ID20" s="91"/>
      <c r="IE20" s="91"/>
      <c r="IF20" s="91"/>
      <c r="IG20" s="91"/>
      <c r="IH20" s="91"/>
      <c r="II20" s="91"/>
      <c r="IJ20" s="91"/>
      <c r="IK20" s="91"/>
      <c r="IL20" s="91"/>
      <c r="IM20" s="91"/>
      <c r="IN20" s="91"/>
      <c r="IO20" s="91"/>
      <c r="IP20" s="91"/>
      <c r="IQ20" s="91"/>
      <c r="IR20" s="91"/>
      <c r="IS20" s="91"/>
      <c r="IT20" s="91"/>
      <c r="IU20" s="91"/>
    </row>
    <row r="21" s="91" customFormat="1" ht="18" customHeight="1" spans="1:255">
      <c r="A21" s="125" t="s">
        <v>904</v>
      </c>
      <c r="B21" s="125"/>
      <c r="C21" s="125"/>
      <c r="D21" s="125"/>
      <c r="E21" s="125"/>
      <c r="F21" s="125"/>
      <c r="G21" s="125"/>
      <c r="H21" s="125"/>
      <c r="I21" s="125"/>
      <c r="J21" s="125"/>
      <c r="K21" s="125"/>
      <c r="L21" s="125"/>
      <c r="M21" s="125"/>
      <c r="N21" s="125"/>
      <c r="O21" s="124"/>
      <c r="P21" s="124"/>
      <c r="Q21" s="124"/>
    </row>
    <row r="22" s="92" customFormat="1" ht="36" customHeight="1" spans="1:255">
      <c r="A22" s="123" t="s">
        <v>905</v>
      </c>
      <c r="B22" s="123"/>
      <c r="C22" s="123"/>
      <c r="D22" s="123"/>
      <c r="E22" s="123"/>
      <c r="F22" s="123"/>
      <c r="G22" s="123"/>
      <c r="H22" s="123"/>
      <c r="I22" s="123"/>
      <c r="J22" s="123"/>
      <c r="K22" s="123"/>
      <c r="L22" s="123"/>
      <c r="M22" s="123"/>
      <c r="N22" s="123"/>
      <c r="O22" s="124"/>
      <c r="P22" s="124"/>
      <c r="Q22" s="124"/>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c r="DM22" s="91"/>
      <c r="DN22" s="91"/>
      <c r="DO22" s="91"/>
      <c r="DP22" s="91"/>
      <c r="DQ22" s="91"/>
      <c r="DR22" s="91"/>
      <c r="DS22" s="91"/>
      <c r="DT22" s="91"/>
      <c r="DU22" s="91"/>
      <c r="DV22" s="91"/>
      <c r="DW22" s="91"/>
      <c r="DX22" s="91"/>
      <c r="DY22" s="91"/>
      <c r="DZ22" s="91"/>
      <c r="EA22" s="91"/>
      <c r="EB22" s="91"/>
      <c r="EC22" s="91"/>
      <c r="ED22" s="91"/>
      <c r="EE22" s="91"/>
      <c r="EF22" s="91"/>
      <c r="EG22" s="91"/>
      <c r="EH22" s="91"/>
      <c r="EI22" s="91"/>
      <c r="EJ22" s="91"/>
      <c r="EK22" s="91"/>
      <c r="EL22" s="91"/>
      <c r="EM22" s="91"/>
      <c r="EN22" s="91"/>
      <c r="EO22" s="91"/>
      <c r="EP22" s="91"/>
      <c r="EQ22" s="91"/>
      <c r="ER22" s="91"/>
      <c r="ES22" s="91"/>
      <c r="ET22" s="91"/>
      <c r="EU22" s="91"/>
      <c r="EV22" s="91"/>
      <c r="EW22" s="91"/>
      <c r="EX22" s="91"/>
      <c r="EY22" s="91"/>
      <c r="EZ22" s="91"/>
      <c r="FA22" s="91"/>
      <c r="FB22" s="91"/>
      <c r="FC22" s="91"/>
      <c r="FD22" s="91"/>
      <c r="FE22" s="91"/>
      <c r="FF22" s="91"/>
      <c r="FG22" s="91"/>
      <c r="FH22" s="91"/>
      <c r="FI22" s="91"/>
      <c r="FJ22" s="91"/>
      <c r="FK22" s="91"/>
      <c r="FL22" s="91"/>
      <c r="FM22" s="91"/>
      <c r="FN22" s="91"/>
      <c r="FO22" s="91"/>
      <c r="FP22" s="91"/>
      <c r="FQ22" s="91"/>
      <c r="FR22" s="91"/>
      <c r="FS22" s="91"/>
      <c r="FT22" s="91"/>
      <c r="FU22" s="91"/>
      <c r="FV22" s="91"/>
      <c r="FW22" s="91"/>
      <c r="FX22" s="91"/>
      <c r="FY22" s="91"/>
      <c r="FZ22" s="91"/>
      <c r="GA22" s="91"/>
      <c r="GB22" s="91"/>
      <c r="GC22" s="91"/>
      <c r="GD22" s="91"/>
      <c r="GE22" s="91"/>
      <c r="GF22" s="91"/>
      <c r="GG22" s="91"/>
      <c r="GH22" s="91"/>
      <c r="GI22" s="91"/>
      <c r="GJ22" s="91"/>
      <c r="GK22" s="91"/>
      <c r="GL22" s="91"/>
      <c r="GM22" s="91"/>
      <c r="GN22" s="91"/>
      <c r="GO22" s="91"/>
      <c r="GP22" s="91"/>
      <c r="GQ22" s="91"/>
      <c r="GR22" s="91"/>
      <c r="GS22" s="91"/>
      <c r="GT22" s="91"/>
      <c r="GU22" s="91"/>
      <c r="GV22" s="91"/>
      <c r="GW22" s="91"/>
      <c r="GX22" s="91"/>
      <c r="GY22" s="91"/>
      <c r="GZ22" s="91"/>
      <c r="HA22" s="91"/>
      <c r="HB22" s="91"/>
      <c r="HC22" s="91"/>
      <c r="HD22" s="91"/>
      <c r="HE22" s="91"/>
      <c r="HF22" s="91"/>
      <c r="HG22" s="91"/>
      <c r="HH22" s="91"/>
      <c r="HI22" s="91"/>
      <c r="HJ22" s="91"/>
      <c r="HK22" s="91"/>
      <c r="HL22" s="91"/>
      <c r="HM22" s="91"/>
      <c r="HN22" s="91"/>
      <c r="HO22" s="91"/>
      <c r="HP22" s="91"/>
      <c r="HQ22" s="91"/>
      <c r="HR22" s="91"/>
      <c r="HS22" s="91"/>
      <c r="HT22" s="91"/>
      <c r="HU22" s="91"/>
      <c r="HV22" s="91"/>
      <c r="HW22" s="91"/>
      <c r="HX22" s="91"/>
      <c r="HY22" s="91"/>
      <c r="HZ22" s="91"/>
      <c r="IA22" s="91"/>
      <c r="IB22" s="91"/>
      <c r="IC22" s="91"/>
      <c r="ID22" s="91"/>
      <c r="IE22" s="91"/>
      <c r="IF22" s="91"/>
      <c r="IG22" s="91"/>
      <c r="IH22" s="91"/>
      <c r="II22" s="91"/>
      <c r="IJ22" s="91"/>
      <c r="IK22" s="91"/>
      <c r="IL22" s="91"/>
      <c r="IM22" s="91"/>
      <c r="IN22" s="91"/>
      <c r="IO22" s="91"/>
      <c r="IP22" s="91"/>
      <c r="IQ22" s="91"/>
      <c r="IR22" s="91"/>
      <c r="IS22" s="91"/>
      <c r="IT22" s="91"/>
      <c r="IU22" s="91"/>
    </row>
    <row r="23" s="93" customFormat="1" ht="135" customHeight="1" spans="1:255">
      <c r="A23" s="125" t="s">
        <v>906</v>
      </c>
      <c r="B23" s="125"/>
      <c r="C23" s="125"/>
      <c r="D23" s="125"/>
      <c r="E23" s="125"/>
      <c r="F23" s="125"/>
      <c r="G23" s="125"/>
      <c r="H23" s="125"/>
      <c r="I23" s="125"/>
      <c r="J23" s="125"/>
      <c r="K23" s="125"/>
      <c r="L23" s="125"/>
      <c r="M23" s="125"/>
      <c r="N23" s="125"/>
      <c r="O23" s="124"/>
      <c r="P23" s="124"/>
      <c r="Q23" s="124"/>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1"/>
      <c r="CT23" s="91"/>
      <c r="CU23" s="91"/>
      <c r="CV23" s="91"/>
      <c r="CW23" s="91"/>
      <c r="CX23" s="91"/>
      <c r="CY23" s="91"/>
      <c r="CZ23" s="91"/>
      <c r="DA23" s="91"/>
      <c r="DB23" s="91"/>
      <c r="DC23" s="91"/>
      <c r="DD23" s="91"/>
      <c r="DE23" s="91"/>
      <c r="DF23" s="91"/>
      <c r="DG23" s="91"/>
      <c r="DH23" s="91"/>
      <c r="DI23" s="91"/>
      <c r="DJ23" s="91"/>
      <c r="DK23" s="91"/>
      <c r="DL23" s="91"/>
      <c r="DM23" s="91"/>
      <c r="DN23" s="91"/>
      <c r="DO23" s="91"/>
      <c r="DP23" s="91"/>
      <c r="DQ23" s="91"/>
      <c r="DR23" s="91"/>
      <c r="DS23" s="91"/>
      <c r="DT23" s="91"/>
      <c r="DU23" s="91"/>
      <c r="DV23" s="91"/>
      <c r="DW23" s="91"/>
      <c r="DX23" s="91"/>
      <c r="DY23" s="91"/>
      <c r="DZ23" s="91"/>
      <c r="EA23" s="91"/>
      <c r="EB23" s="91"/>
      <c r="EC23" s="91"/>
      <c r="ED23" s="91"/>
      <c r="EE23" s="91"/>
      <c r="EF23" s="91"/>
      <c r="EG23" s="91"/>
      <c r="EH23" s="91"/>
      <c r="EI23" s="91"/>
      <c r="EJ23" s="91"/>
      <c r="EK23" s="91"/>
      <c r="EL23" s="91"/>
      <c r="EM23" s="91"/>
      <c r="EN23" s="91"/>
      <c r="EO23" s="91"/>
      <c r="EP23" s="91"/>
      <c r="EQ23" s="91"/>
      <c r="ER23" s="91"/>
      <c r="ES23" s="91"/>
      <c r="ET23" s="91"/>
      <c r="EU23" s="91"/>
      <c r="EV23" s="91"/>
      <c r="EW23" s="91"/>
      <c r="EX23" s="91"/>
      <c r="EY23" s="91"/>
      <c r="EZ23" s="91"/>
      <c r="FA23" s="91"/>
      <c r="FB23" s="91"/>
      <c r="FC23" s="91"/>
      <c r="FD23" s="91"/>
      <c r="FE23" s="91"/>
      <c r="FF23" s="91"/>
      <c r="FG23" s="91"/>
      <c r="FH23" s="91"/>
      <c r="FI23" s="91"/>
      <c r="FJ23" s="91"/>
      <c r="FK23" s="91"/>
      <c r="FL23" s="91"/>
      <c r="FM23" s="91"/>
      <c r="FN23" s="91"/>
      <c r="FO23" s="91"/>
      <c r="FP23" s="91"/>
      <c r="FQ23" s="91"/>
      <c r="FR23" s="91"/>
      <c r="FS23" s="91"/>
      <c r="FT23" s="91"/>
      <c r="FU23" s="91"/>
      <c r="FV23" s="91"/>
      <c r="FW23" s="91"/>
      <c r="FX23" s="91"/>
      <c r="FY23" s="91"/>
      <c r="FZ23" s="91"/>
      <c r="GA23" s="91"/>
      <c r="GB23" s="91"/>
      <c r="GC23" s="91"/>
      <c r="GD23" s="91"/>
      <c r="GE23" s="91"/>
      <c r="GF23" s="91"/>
      <c r="GG23" s="91"/>
      <c r="GH23" s="91"/>
      <c r="GI23" s="91"/>
      <c r="GJ23" s="91"/>
      <c r="GK23" s="91"/>
      <c r="GL23" s="91"/>
      <c r="GM23" s="91"/>
      <c r="GN23" s="91"/>
      <c r="GO23" s="91"/>
      <c r="GP23" s="91"/>
      <c r="GQ23" s="91"/>
      <c r="GR23" s="91"/>
      <c r="GS23" s="91"/>
      <c r="GT23" s="91"/>
      <c r="GU23" s="91"/>
      <c r="GV23" s="91"/>
      <c r="GW23" s="91"/>
      <c r="GX23" s="91"/>
      <c r="GY23" s="91"/>
      <c r="GZ23" s="91"/>
      <c r="HA23" s="91"/>
      <c r="HB23" s="91"/>
      <c r="HC23" s="91"/>
      <c r="HD23" s="91"/>
      <c r="HE23" s="91"/>
      <c r="HF23" s="91"/>
      <c r="HG23" s="91"/>
      <c r="HH23" s="91"/>
      <c r="HI23" s="91"/>
      <c r="HJ23" s="91"/>
      <c r="HK23" s="91"/>
      <c r="HL23" s="91"/>
      <c r="HM23" s="91"/>
      <c r="HN23" s="91"/>
      <c r="HO23" s="91"/>
      <c r="HP23" s="91"/>
      <c r="HQ23" s="91"/>
      <c r="HR23" s="91"/>
      <c r="HS23" s="91"/>
      <c r="HT23" s="91"/>
      <c r="HU23" s="91"/>
      <c r="HV23" s="91"/>
      <c r="HW23" s="91"/>
      <c r="HX23" s="91"/>
      <c r="HY23" s="91"/>
      <c r="HZ23" s="91"/>
      <c r="IA23" s="91"/>
      <c r="IB23" s="91"/>
      <c r="IC23" s="91"/>
      <c r="ID23" s="91"/>
      <c r="IE23" s="91"/>
      <c r="IF23" s="91"/>
      <c r="IG23" s="91"/>
      <c r="IH23" s="91"/>
      <c r="II23" s="91"/>
      <c r="IJ23" s="91"/>
      <c r="IK23" s="91"/>
      <c r="IL23" s="91"/>
      <c r="IM23" s="91"/>
      <c r="IN23" s="91"/>
      <c r="IO23" s="91"/>
      <c r="IP23" s="91"/>
      <c r="IQ23" s="91"/>
      <c r="IR23" s="91"/>
      <c r="IS23" s="91"/>
      <c r="IT23" s="91"/>
      <c r="IU23" s="91"/>
    </row>
    <row r="24" s="93" customFormat="1" ht="54" customHeight="1" spans="1:255">
      <c r="A24" s="125" t="s">
        <v>907</v>
      </c>
      <c r="B24" s="125"/>
      <c r="C24" s="125"/>
      <c r="D24" s="125"/>
      <c r="E24" s="125"/>
      <c r="F24" s="125"/>
      <c r="G24" s="125"/>
      <c r="H24" s="125"/>
      <c r="I24" s="125"/>
      <c r="J24" s="125"/>
      <c r="K24" s="125"/>
      <c r="L24" s="125"/>
      <c r="M24" s="125"/>
      <c r="N24" s="125"/>
      <c r="O24" s="124"/>
      <c r="P24" s="124"/>
      <c r="Q24" s="124"/>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1"/>
      <c r="DZ24" s="91"/>
      <c r="EA24" s="91"/>
      <c r="EB24" s="91"/>
      <c r="EC24" s="91"/>
      <c r="ED24" s="91"/>
      <c r="EE24" s="91"/>
      <c r="EF24" s="91"/>
      <c r="EG24" s="91"/>
      <c r="EH24" s="91"/>
      <c r="EI24" s="91"/>
      <c r="EJ24" s="91"/>
      <c r="EK24" s="91"/>
      <c r="EL24" s="91"/>
      <c r="EM24" s="91"/>
      <c r="EN24" s="91"/>
      <c r="EO24" s="91"/>
      <c r="EP24" s="91"/>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1"/>
      <c r="FO24" s="91"/>
      <c r="FP24" s="91"/>
      <c r="FQ24" s="91"/>
      <c r="FR24" s="91"/>
      <c r="FS24" s="91"/>
      <c r="FT24" s="91"/>
      <c r="FU24" s="91"/>
      <c r="FV24" s="91"/>
      <c r="FW24" s="91"/>
      <c r="FX24" s="91"/>
      <c r="FY24" s="91"/>
      <c r="FZ24" s="91"/>
      <c r="GA24" s="91"/>
      <c r="GB24" s="91"/>
      <c r="GC24" s="91"/>
      <c r="GD24" s="91"/>
      <c r="GE24" s="91"/>
      <c r="GF24" s="91"/>
      <c r="GG24" s="91"/>
      <c r="GH24" s="91"/>
      <c r="GI24" s="91"/>
      <c r="GJ24" s="91"/>
      <c r="GK24" s="91"/>
      <c r="GL24" s="91"/>
      <c r="GM24" s="91"/>
      <c r="GN24" s="91"/>
      <c r="GO24" s="91"/>
      <c r="GP24" s="91"/>
      <c r="GQ24" s="91"/>
      <c r="GR24" s="91"/>
      <c r="GS24" s="91"/>
      <c r="GT24" s="91"/>
      <c r="GU24" s="91"/>
      <c r="GV24" s="91"/>
      <c r="GW24" s="91"/>
      <c r="GX24" s="91"/>
      <c r="GY24" s="91"/>
      <c r="GZ24" s="91"/>
      <c r="HA24" s="91"/>
      <c r="HB24" s="91"/>
      <c r="HC24" s="91"/>
      <c r="HD24" s="91"/>
      <c r="HE24" s="91"/>
      <c r="HF24" s="91"/>
      <c r="HG24" s="91"/>
      <c r="HH24" s="91"/>
      <c r="HI24" s="91"/>
      <c r="HJ24" s="91"/>
      <c r="HK24" s="91"/>
      <c r="HL24" s="91"/>
      <c r="HM24" s="91"/>
      <c r="HN24" s="91"/>
      <c r="HO24" s="91"/>
      <c r="HP24" s="91"/>
      <c r="HQ24" s="91"/>
      <c r="HR24" s="91"/>
      <c r="HS24" s="91"/>
      <c r="HT24" s="91"/>
      <c r="HU24" s="91"/>
      <c r="HV24" s="91"/>
      <c r="HW24" s="91"/>
      <c r="HX24" s="91"/>
      <c r="HY24" s="91"/>
      <c r="HZ24" s="91"/>
      <c r="IA24" s="91"/>
      <c r="IB24" s="91"/>
      <c r="IC24" s="91"/>
      <c r="ID24" s="91"/>
      <c r="IE24" s="91"/>
      <c r="IF24" s="91"/>
      <c r="IG24" s="91"/>
      <c r="IH24" s="91"/>
      <c r="II24" s="91"/>
      <c r="IJ24" s="91"/>
      <c r="IK24" s="91"/>
      <c r="IL24" s="91"/>
      <c r="IM24" s="91"/>
      <c r="IN24" s="91"/>
      <c r="IO24" s="91"/>
      <c r="IP24" s="91"/>
      <c r="IQ24" s="91"/>
      <c r="IR24" s="91"/>
      <c r="IS24" s="91"/>
      <c r="IT24" s="91"/>
      <c r="IU24" s="91"/>
    </row>
    <row r="25" s="93" customFormat="1" ht="36" customHeight="1" spans="1:255">
      <c r="A25" s="125" t="s">
        <v>908</v>
      </c>
      <c r="B25" s="125"/>
      <c r="C25" s="125"/>
      <c r="D25" s="125"/>
      <c r="E25" s="125"/>
      <c r="F25" s="125"/>
      <c r="G25" s="125"/>
      <c r="H25" s="125"/>
      <c r="I25" s="125"/>
      <c r="J25" s="125"/>
      <c r="K25" s="125"/>
      <c r="L25" s="125"/>
      <c r="M25" s="125"/>
      <c r="N25" s="125"/>
      <c r="O25" s="124"/>
      <c r="P25" s="124"/>
      <c r="Q25" s="124"/>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1"/>
      <c r="CT25" s="91"/>
      <c r="CU25" s="91"/>
      <c r="CV25" s="91"/>
      <c r="CW25" s="91"/>
      <c r="CX25" s="91"/>
      <c r="CY25" s="91"/>
      <c r="CZ25" s="91"/>
      <c r="DA25" s="91"/>
      <c r="DB25" s="91"/>
      <c r="DC25" s="91"/>
      <c r="DD25" s="91"/>
      <c r="DE25" s="91"/>
      <c r="DF25" s="91"/>
      <c r="DG25" s="91"/>
      <c r="DH25" s="91"/>
      <c r="DI25" s="91"/>
      <c r="DJ25" s="91"/>
      <c r="DK25" s="91"/>
      <c r="DL25" s="91"/>
      <c r="DM25" s="91"/>
      <c r="DN25" s="91"/>
      <c r="DO25" s="91"/>
      <c r="DP25" s="91"/>
      <c r="DQ25" s="91"/>
      <c r="DR25" s="91"/>
      <c r="DS25" s="91"/>
      <c r="DT25" s="91"/>
      <c r="DU25" s="91"/>
      <c r="DV25" s="91"/>
      <c r="DW25" s="91"/>
      <c r="DX25" s="91"/>
      <c r="DY25" s="91"/>
      <c r="DZ25" s="91"/>
      <c r="EA25" s="91"/>
      <c r="EB25" s="91"/>
      <c r="EC25" s="91"/>
      <c r="ED25" s="91"/>
      <c r="EE25" s="91"/>
      <c r="EF25" s="91"/>
      <c r="EG25" s="91"/>
      <c r="EH25" s="91"/>
      <c r="EI25" s="91"/>
      <c r="EJ25" s="91"/>
      <c r="EK25" s="91"/>
      <c r="EL25" s="91"/>
      <c r="EM25" s="91"/>
      <c r="EN25" s="91"/>
      <c r="EO25" s="91"/>
      <c r="EP25" s="91"/>
      <c r="EQ25" s="91"/>
      <c r="ER25" s="91"/>
      <c r="ES25" s="91"/>
      <c r="ET25" s="91"/>
      <c r="EU25" s="91"/>
      <c r="EV25" s="91"/>
      <c r="EW25" s="91"/>
      <c r="EX25" s="91"/>
      <c r="EY25" s="91"/>
      <c r="EZ25" s="91"/>
      <c r="FA25" s="91"/>
      <c r="FB25" s="91"/>
      <c r="FC25" s="91"/>
      <c r="FD25" s="91"/>
      <c r="FE25" s="91"/>
      <c r="FF25" s="91"/>
      <c r="FG25" s="91"/>
      <c r="FH25" s="91"/>
      <c r="FI25" s="91"/>
      <c r="FJ25" s="91"/>
      <c r="FK25" s="91"/>
      <c r="FL25" s="91"/>
      <c r="FM25" s="91"/>
      <c r="FN25" s="91"/>
      <c r="FO25" s="91"/>
      <c r="FP25" s="91"/>
      <c r="FQ25" s="91"/>
      <c r="FR25" s="91"/>
      <c r="FS25" s="91"/>
      <c r="FT25" s="91"/>
      <c r="FU25" s="91"/>
      <c r="FV25" s="91"/>
      <c r="FW25" s="91"/>
      <c r="FX25" s="91"/>
      <c r="FY25" s="91"/>
      <c r="FZ25" s="91"/>
      <c r="GA25" s="91"/>
      <c r="GB25" s="91"/>
      <c r="GC25" s="91"/>
      <c r="GD25" s="91"/>
      <c r="GE25" s="91"/>
      <c r="GF25" s="91"/>
      <c r="GG25" s="91"/>
      <c r="GH25" s="91"/>
      <c r="GI25" s="91"/>
      <c r="GJ25" s="91"/>
      <c r="GK25" s="91"/>
      <c r="GL25" s="91"/>
      <c r="GM25" s="91"/>
      <c r="GN25" s="91"/>
      <c r="GO25" s="91"/>
      <c r="GP25" s="91"/>
      <c r="GQ25" s="91"/>
      <c r="GR25" s="91"/>
      <c r="GS25" s="91"/>
      <c r="GT25" s="91"/>
      <c r="GU25" s="91"/>
      <c r="GV25" s="91"/>
      <c r="GW25" s="91"/>
      <c r="GX25" s="91"/>
      <c r="GY25" s="91"/>
      <c r="GZ25" s="91"/>
      <c r="HA25" s="91"/>
      <c r="HB25" s="91"/>
      <c r="HC25" s="91"/>
      <c r="HD25" s="91"/>
      <c r="HE25" s="91"/>
      <c r="HF25" s="91"/>
      <c r="HG25" s="91"/>
      <c r="HH25" s="91"/>
      <c r="HI25" s="91"/>
      <c r="HJ25" s="91"/>
      <c r="HK25" s="91"/>
      <c r="HL25" s="91"/>
      <c r="HM25" s="91"/>
      <c r="HN25" s="91"/>
      <c r="HO25" s="91"/>
      <c r="HP25" s="91"/>
      <c r="HQ25" s="91"/>
      <c r="HR25" s="91"/>
      <c r="HS25" s="91"/>
      <c r="HT25" s="91"/>
      <c r="HU25" s="91"/>
      <c r="HV25" s="91"/>
      <c r="HW25" s="91"/>
      <c r="HX25" s="91"/>
      <c r="HY25" s="91"/>
      <c r="HZ25" s="91"/>
      <c r="IA25" s="91"/>
      <c r="IB25" s="91"/>
      <c r="IC25" s="91"/>
      <c r="ID25" s="91"/>
      <c r="IE25" s="91"/>
      <c r="IF25" s="91"/>
      <c r="IG25" s="91"/>
      <c r="IH25" s="91"/>
      <c r="II25" s="91"/>
      <c r="IJ25" s="91"/>
      <c r="IK25" s="91"/>
      <c r="IL25" s="91"/>
      <c r="IM25" s="91"/>
      <c r="IN25" s="91"/>
      <c r="IO25" s="91"/>
      <c r="IP25" s="91"/>
      <c r="IQ25" s="91"/>
      <c r="IR25" s="91"/>
      <c r="IS25" s="91"/>
      <c r="IT25" s="91"/>
      <c r="IU25" s="91"/>
    </row>
    <row r="26" s="93" customFormat="1" ht="23" customHeight="1" spans="1:255">
      <c r="A26" s="125" t="s">
        <v>909</v>
      </c>
      <c r="B26" s="125"/>
      <c r="C26" s="125"/>
      <c r="D26" s="125"/>
      <c r="E26" s="125"/>
      <c r="F26" s="125"/>
      <c r="G26" s="125"/>
      <c r="H26" s="125"/>
      <c r="I26" s="125"/>
      <c r="J26" s="125"/>
      <c r="K26" s="125"/>
      <c r="L26" s="125"/>
      <c r="M26" s="125"/>
      <c r="N26" s="125"/>
      <c r="O26" s="124"/>
      <c r="P26" s="124"/>
      <c r="Q26" s="124"/>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91"/>
      <c r="CQ26" s="91"/>
      <c r="CR26" s="91"/>
      <c r="CS26" s="91"/>
      <c r="CT26" s="91"/>
      <c r="CU26" s="91"/>
      <c r="CV26" s="91"/>
      <c r="CW26" s="91"/>
      <c r="CX26" s="91"/>
      <c r="CY26" s="91"/>
      <c r="CZ26" s="91"/>
      <c r="DA26" s="91"/>
      <c r="DB26" s="91"/>
      <c r="DC26" s="91"/>
      <c r="DD26" s="91"/>
      <c r="DE26" s="91"/>
      <c r="DF26" s="91"/>
      <c r="DG26" s="91"/>
      <c r="DH26" s="91"/>
      <c r="DI26" s="91"/>
      <c r="DJ26" s="91"/>
      <c r="DK26" s="91"/>
      <c r="DL26" s="91"/>
      <c r="DM26" s="91"/>
      <c r="DN26" s="91"/>
      <c r="DO26" s="91"/>
      <c r="DP26" s="91"/>
      <c r="DQ26" s="91"/>
      <c r="DR26" s="91"/>
      <c r="DS26" s="91"/>
      <c r="DT26" s="91"/>
      <c r="DU26" s="91"/>
      <c r="DV26" s="91"/>
      <c r="DW26" s="91"/>
      <c r="DX26" s="91"/>
      <c r="DY26" s="91"/>
      <c r="DZ26" s="91"/>
      <c r="EA26" s="91"/>
      <c r="EB26" s="91"/>
      <c r="EC26" s="91"/>
      <c r="ED26" s="91"/>
      <c r="EE26" s="91"/>
      <c r="EF26" s="91"/>
      <c r="EG26" s="91"/>
      <c r="EH26" s="91"/>
      <c r="EI26" s="91"/>
      <c r="EJ26" s="91"/>
      <c r="EK26" s="91"/>
      <c r="EL26" s="91"/>
      <c r="EM26" s="91"/>
      <c r="EN26" s="91"/>
      <c r="EO26" s="91"/>
      <c r="EP26" s="91"/>
      <c r="EQ26" s="91"/>
      <c r="ER26" s="91"/>
      <c r="ES26" s="91"/>
      <c r="ET26" s="91"/>
      <c r="EU26" s="91"/>
      <c r="EV26" s="91"/>
      <c r="EW26" s="91"/>
      <c r="EX26" s="91"/>
      <c r="EY26" s="91"/>
      <c r="EZ26" s="91"/>
      <c r="FA26" s="91"/>
      <c r="FB26" s="91"/>
      <c r="FC26" s="91"/>
      <c r="FD26" s="91"/>
      <c r="FE26" s="91"/>
      <c r="FF26" s="91"/>
      <c r="FG26" s="91"/>
      <c r="FH26" s="91"/>
      <c r="FI26" s="91"/>
      <c r="FJ26" s="91"/>
      <c r="FK26" s="91"/>
      <c r="FL26" s="91"/>
      <c r="FM26" s="91"/>
      <c r="FN26" s="91"/>
      <c r="FO26" s="91"/>
      <c r="FP26" s="91"/>
      <c r="FQ26" s="91"/>
      <c r="FR26" s="91"/>
      <c r="FS26" s="91"/>
      <c r="FT26" s="91"/>
      <c r="FU26" s="91"/>
      <c r="FV26" s="91"/>
      <c r="FW26" s="91"/>
      <c r="FX26" s="91"/>
      <c r="FY26" s="91"/>
      <c r="FZ26" s="91"/>
      <c r="GA26" s="91"/>
      <c r="GB26" s="91"/>
      <c r="GC26" s="91"/>
      <c r="GD26" s="91"/>
      <c r="GE26" s="91"/>
      <c r="GF26" s="91"/>
      <c r="GG26" s="91"/>
      <c r="GH26" s="91"/>
      <c r="GI26" s="91"/>
      <c r="GJ26" s="91"/>
      <c r="GK26" s="91"/>
      <c r="GL26" s="91"/>
      <c r="GM26" s="91"/>
      <c r="GN26" s="91"/>
      <c r="GO26" s="91"/>
      <c r="GP26" s="91"/>
      <c r="GQ26" s="91"/>
      <c r="GR26" s="91"/>
      <c r="GS26" s="91"/>
      <c r="GT26" s="91"/>
      <c r="GU26" s="91"/>
      <c r="GV26" s="91"/>
      <c r="GW26" s="91"/>
      <c r="GX26" s="91"/>
      <c r="GY26" s="91"/>
      <c r="GZ26" s="91"/>
      <c r="HA26" s="91"/>
      <c r="HB26" s="91"/>
      <c r="HC26" s="91"/>
      <c r="HD26" s="91"/>
      <c r="HE26" s="91"/>
      <c r="HF26" s="91"/>
      <c r="HG26" s="91"/>
      <c r="HH26" s="91"/>
      <c r="HI26" s="91"/>
      <c r="HJ26" s="91"/>
      <c r="HK26" s="91"/>
      <c r="HL26" s="91"/>
      <c r="HM26" s="91"/>
      <c r="HN26" s="91"/>
      <c r="HO26" s="91"/>
      <c r="HP26" s="91"/>
      <c r="HQ26" s="91"/>
      <c r="HR26" s="91"/>
      <c r="HS26" s="91"/>
      <c r="HT26" s="91"/>
      <c r="HU26" s="91"/>
      <c r="HV26" s="91"/>
      <c r="HW26" s="91"/>
      <c r="HX26" s="91"/>
      <c r="HY26" s="91"/>
      <c r="HZ26" s="91"/>
      <c r="IA26" s="91"/>
      <c r="IB26" s="91"/>
      <c r="IC26" s="91"/>
      <c r="ID26" s="91"/>
      <c r="IE26" s="91"/>
      <c r="IF26" s="91"/>
      <c r="IG26" s="91"/>
      <c r="IH26" s="91"/>
      <c r="II26" s="91"/>
      <c r="IJ26" s="91"/>
      <c r="IK26" s="91"/>
      <c r="IL26" s="91"/>
      <c r="IM26" s="91"/>
      <c r="IN26" s="91"/>
      <c r="IO26" s="91"/>
      <c r="IP26" s="91"/>
      <c r="IQ26" s="91"/>
      <c r="IR26" s="91"/>
      <c r="IS26" s="91"/>
      <c r="IT26" s="91"/>
      <c r="IU26" s="91"/>
    </row>
    <row r="27" s="93" customFormat="1" ht="31" customHeight="1" spans="1:255">
      <c r="A27" s="125" t="s">
        <v>910</v>
      </c>
      <c r="B27" s="125"/>
      <c r="C27" s="125"/>
      <c r="D27" s="125"/>
      <c r="E27" s="125"/>
      <c r="F27" s="125"/>
      <c r="G27" s="125"/>
      <c r="H27" s="125"/>
      <c r="I27" s="125"/>
      <c r="J27" s="125"/>
      <c r="K27" s="125"/>
      <c r="L27" s="125"/>
      <c r="M27" s="125"/>
      <c r="N27" s="125"/>
      <c r="O27" s="124"/>
      <c r="P27" s="124"/>
      <c r="Q27" s="124"/>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91"/>
      <c r="CE27" s="91"/>
      <c r="CF27" s="91"/>
      <c r="CG27" s="91"/>
      <c r="CH27" s="91"/>
      <c r="CI27" s="91"/>
      <c r="CJ27" s="91"/>
      <c r="CK27" s="91"/>
      <c r="CL27" s="91"/>
      <c r="CM27" s="91"/>
      <c r="CN27" s="91"/>
      <c r="CO27" s="91"/>
      <c r="CP27" s="91"/>
      <c r="CQ27" s="91"/>
      <c r="CR27" s="91"/>
      <c r="CS27" s="91"/>
      <c r="CT27" s="91"/>
      <c r="CU27" s="91"/>
      <c r="CV27" s="91"/>
      <c r="CW27" s="91"/>
      <c r="CX27" s="91"/>
      <c r="CY27" s="91"/>
      <c r="CZ27" s="91"/>
      <c r="DA27" s="91"/>
      <c r="DB27" s="91"/>
      <c r="DC27" s="91"/>
      <c r="DD27" s="91"/>
      <c r="DE27" s="91"/>
      <c r="DF27" s="91"/>
      <c r="DG27" s="91"/>
      <c r="DH27" s="91"/>
      <c r="DI27" s="91"/>
      <c r="DJ27" s="91"/>
      <c r="DK27" s="91"/>
      <c r="DL27" s="91"/>
      <c r="DM27" s="91"/>
      <c r="DN27" s="91"/>
      <c r="DO27" s="91"/>
      <c r="DP27" s="91"/>
      <c r="DQ27" s="91"/>
      <c r="DR27" s="91"/>
      <c r="DS27" s="91"/>
      <c r="DT27" s="91"/>
      <c r="DU27" s="91"/>
      <c r="DV27" s="91"/>
      <c r="DW27" s="91"/>
      <c r="DX27" s="91"/>
      <c r="DY27" s="91"/>
      <c r="DZ27" s="91"/>
      <c r="EA27" s="91"/>
      <c r="EB27" s="91"/>
      <c r="EC27" s="91"/>
      <c r="ED27" s="91"/>
      <c r="EE27" s="91"/>
      <c r="EF27" s="91"/>
      <c r="EG27" s="91"/>
      <c r="EH27" s="91"/>
      <c r="EI27" s="91"/>
      <c r="EJ27" s="91"/>
      <c r="EK27" s="91"/>
      <c r="EL27" s="91"/>
      <c r="EM27" s="91"/>
      <c r="EN27" s="91"/>
      <c r="EO27" s="91"/>
      <c r="EP27" s="91"/>
      <c r="EQ27" s="91"/>
      <c r="ER27" s="91"/>
      <c r="ES27" s="91"/>
      <c r="ET27" s="91"/>
      <c r="EU27" s="91"/>
      <c r="EV27" s="91"/>
      <c r="EW27" s="91"/>
      <c r="EX27" s="91"/>
      <c r="EY27" s="91"/>
      <c r="EZ27" s="91"/>
      <c r="FA27" s="91"/>
      <c r="FB27" s="91"/>
      <c r="FC27" s="91"/>
      <c r="FD27" s="91"/>
      <c r="FE27" s="91"/>
      <c r="FF27" s="91"/>
      <c r="FG27" s="91"/>
      <c r="FH27" s="91"/>
      <c r="FI27" s="91"/>
      <c r="FJ27" s="91"/>
      <c r="FK27" s="91"/>
      <c r="FL27" s="91"/>
      <c r="FM27" s="91"/>
      <c r="FN27" s="91"/>
      <c r="FO27" s="91"/>
      <c r="FP27" s="91"/>
      <c r="FQ27" s="91"/>
      <c r="FR27" s="91"/>
      <c r="FS27" s="91"/>
      <c r="FT27" s="91"/>
      <c r="FU27" s="91"/>
      <c r="FV27" s="91"/>
      <c r="FW27" s="91"/>
      <c r="FX27" s="91"/>
      <c r="FY27" s="91"/>
      <c r="FZ27" s="91"/>
      <c r="GA27" s="91"/>
      <c r="GB27" s="91"/>
      <c r="GC27" s="91"/>
      <c r="GD27" s="91"/>
      <c r="GE27" s="91"/>
      <c r="GF27" s="91"/>
      <c r="GG27" s="91"/>
      <c r="GH27" s="91"/>
      <c r="GI27" s="91"/>
      <c r="GJ27" s="91"/>
      <c r="GK27" s="91"/>
      <c r="GL27" s="91"/>
      <c r="GM27" s="91"/>
      <c r="GN27" s="91"/>
      <c r="GO27" s="91"/>
      <c r="GP27" s="91"/>
      <c r="GQ27" s="91"/>
      <c r="GR27" s="91"/>
      <c r="GS27" s="91"/>
      <c r="GT27" s="91"/>
      <c r="GU27" s="91"/>
      <c r="GV27" s="91"/>
      <c r="GW27" s="91"/>
      <c r="GX27" s="91"/>
      <c r="GY27" s="91"/>
      <c r="GZ27" s="91"/>
      <c r="HA27" s="91"/>
      <c r="HB27" s="91"/>
      <c r="HC27" s="91"/>
      <c r="HD27" s="91"/>
      <c r="HE27" s="91"/>
      <c r="HF27" s="91"/>
      <c r="HG27" s="91"/>
      <c r="HH27" s="91"/>
      <c r="HI27" s="91"/>
      <c r="HJ27" s="91"/>
      <c r="HK27" s="91"/>
      <c r="HL27" s="91"/>
      <c r="HM27" s="91"/>
      <c r="HN27" s="91"/>
      <c r="HO27" s="91"/>
      <c r="HP27" s="91"/>
      <c r="HQ27" s="91"/>
      <c r="HR27" s="91"/>
      <c r="HS27" s="91"/>
      <c r="HT27" s="91"/>
      <c r="HU27" s="91"/>
      <c r="HV27" s="91"/>
      <c r="HW27" s="91"/>
      <c r="HX27" s="91"/>
      <c r="HY27" s="91"/>
      <c r="HZ27" s="91"/>
      <c r="IA27" s="91"/>
      <c r="IB27" s="91"/>
      <c r="IC27" s="91"/>
      <c r="ID27" s="91"/>
      <c r="IE27" s="91"/>
      <c r="IF27" s="91"/>
      <c r="IG27" s="91"/>
      <c r="IH27" s="91"/>
      <c r="II27" s="91"/>
      <c r="IJ27" s="91"/>
      <c r="IK27" s="91"/>
      <c r="IL27" s="91"/>
      <c r="IM27" s="91"/>
      <c r="IN27" s="91"/>
      <c r="IO27" s="91"/>
      <c r="IP27" s="91"/>
      <c r="IQ27" s="91"/>
      <c r="IR27" s="91"/>
      <c r="IS27" s="91"/>
      <c r="IT27" s="91"/>
      <c r="IU27" s="91"/>
    </row>
    <row r="28" s="93" customFormat="1" ht="77" customHeight="1" spans="1:255">
      <c r="A28" s="125" t="s">
        <v>911</v>
      </c>
      <c r="B28" s="125"/>
      <c r="C28" s="125"/>
      <c r="D28" s="125"/>
      <c r="E28" s="125"/>
      <c r="F28" s="125"/>
      <c r="G28" s="125"/>
      <c r="H28" s="125"/>
      <c r="I28" s="125"/>
      <c r="J28" s="125"/>
      <c r="K28" s="125"/>
      <c r="L28" s="125"/>
      <c r="M28" s="125"/>
      <c r="N28" s="125"/>
      <c r="O28" s="124"/>
      <c r="P28" s="124"/>
      <c r="Q28" s="124"/>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1"/>
      <c r="CT28" s="91"/>
      <c r="CU28" s="91"/>
      <c r="CV28" s="91"/>
      <c r="CW28" s="91"/>
      <c r="CX28" s="91"/>
      <c r="CY28" s="91"/>
      <c r="CZ28" s="91"/>
      <c r="DA28" s="91"/>
      <c r="DB28" s="91"/>
      <c r="DC28" s="91"/>
      <c r="DD28" s="91"/>
      <c r="DE28" s="91"/>
      <c r="DF28" s="91"/>
      <c r="DG28" s="91"/>
      <c r="DH28" s="91"/>
      <c r="DI28" s="91"/>
      <c r="DJ28" s="91"/>
      <c r="DK28" s="91"/>
      <c r="DL28" s="91"/>
      <c r="DM28" s="91"/>
      <c r="DN28" s="91"/>
      <c r="DO28" s="91"/>
      <c r="DP28" s="91"/>
      <c r="DQ28" s="91"/>
      <c r="DR28" s="91"/>
      <c r="DS28" s="91"/>
      <c r="DT28" s="91"/>
      <c r="DU28" s="91"/>
      <c r="DV28" s="91"/>
      <c r="DW28" s="91"/>
      <c r="DX28" s="91"/>
      <c r="DY28" s="91"/>
      <c r="DZ28" s="91"/>
      <c r="EA28" s="91"/>
      <c r="EB28" s="91"/>
      <c r="EC28" s="91"/>
      <c r="ED28" s="91"/>
      <c r="EE28" s="91"/>
      <c r="EF28" s="91"/>
      <c r="EG28" s="91"/>
      <c r="EH28" s="91"/>
      <c r="EI28" s="91"/>
      <c r="EJ28" s="91"/>
      <c r="EK28" s="91"/>
      <c r="EL28" s="91"/>
      <c r="EM28" s="91"/>
      <c r="EN28" s="91"/>
      <c r="EO28" s="91"/>
      <c r="EP28" s="91"/>
      <c r="EQ28" s="91"/>
      <c r="ER28" s="91"/>
      <c r="ES28" s="91"/>
      <c r="ET28" s="91"/>
      <c r="EU28" s="91"/>
      <c r="EV28" s="91"/>
      <c r="EW28" s="91"/>
      <c r="EX28" s="91"/>
      <c r="EY28" s="91"/>
      <c r="EZ28" s="91"/>
      <c r="FA28" s="91"/>
      <c r="FB28" s="91"/>
      <c r="FC28" s="91"/>
      <c r="FD28" s="91"/>
      <c r="FE28" s="91"/>
      <c r="FF28" s="91"/>
      <c r="FG28" s="91"/>
      <c r="FH28" s="91"/>
      <c r="FI28" s="91"/>
      <c r="FJ28" s="91"/>
      <c r="FK28" s="91"/>
      <c r="FL28" s="91"/>
      <c r="FM28" s="91"/>
      <c r="FN28" s="91"/>
      <c r="FO28" s="91"/>
      <c r="FP28" s="91"/>
      <c r="FQ28" s="91"/>
      <c r="FR28" s="91"/>
      <c r="FS28" s="91"/>
      <c r="FT28" s="91"/>
      <c r="FU28" s="91"/>
      <c r="FV28" s="91"/>
      <c r="FW28" s="91"/>
      <c r="FX28" s="91"/>
      <c r="FY28" s="91"/>
      <c r="FZ28" s="91"/>
      <c r="GA28" s="91"/>
      <c r="GB28" s="91"/>
      <c r="GC28" s="91"/>
      <c r="GD28" s="91"/>
      <c r="GE28" s="91"/>
      <c r="GF28" s="91"/>
      <c r="GG28" s="91"/>
      <c r="GH28" s="91"/>
      <c r="GI28" s="91"/>
      <c r="GJ28" s="91"/>
      <c r="GK28" s="91"/>
      <c r="GL28" s="91"/>
      <c r="GM28" s="91"/>
      <c r="GN28" s="91"/>
      <c r="GO28" s="91"/>
      <c r="GP28" s="91"/>
      <c r="GQ28" s="91"/>
      <c r="GR28" s="91"/>
      <c r="GS28" s="91"/>
      <c r="GT28" s="91"/>
      <c r="GU28" s="91"/>
      <c r="GV28" s="91"/>
      <c r="GW28" s="91"/>
      <c r="GX28" s="91"/>
      <c r="GY28" s="91"/>
      <c r="GZ28" s="91"/>
      <c r="HA28" s="91"/>
      <c r="HB28" s="91"/>
      <c r="HC28" s="91"/>
      <c r="HD28" s="91"/>
      <c r="HE28" s="91"/>
      <c r="HF28" s="91"/>
      <c r="HG28" s="91"/>
      <c r="HH28" s="91"/>
      <c r="HI28" s="91"/>
      <c r="HJ28" s="91"/>
      <c r="HK28" s="91"/>
      <c r="HL28" s="91"/>
      <c r="HM28" s="91"/>
      <c r="HN28" s="91"/>
      <c r="HO28" s="91"/>
      <c r="HP28" s="91"/>
      <c r="HQ28" s="91"/>
      <c r="HR28" s="91"/>
      <c r="HS28" s="91"/>
      <c r="HT28" s="91"/>
      <c r="HU28" s="91"/>
      <c r="HV28" s="91"/>
      <c r="HW28" s="91"/>
      <c r="HX28" s="91"/>
      <c r="HY28" s="91"/>
      <c r="HZ28" s="91"/>
      <c r="IA28" s="91"/>
      <c r="IB28" s="91"/>
      <c r="IC28" s="91"/>
      <c r="ID28" s="91"/>
      <c r="IE28" s="91"/>
      <c r="IF28" s="91"/>
      <c r="IG28" s="91"/>
      <c r="IH28" s="91"/>
      <c r="II28" s="91"/>
      <c r="IJ28" s="91"/>
      <c r="IK28" s="91"/>
      <c r="IL28" s="91"/>
      <c r="IM28" s="91"/>
      <c r="IN28" s="91"/>
      <c r="IO28" s="91"/>
      <c r="IP28" s="91"/>
      <c r="IQ28" s="91"/>
      <c r="IR28" s="91"/>
      <c r="IS28" s="91"/>
      <c r="IT28" s="91"/>
      <c r="IU28" s="91"/>
    </row>
    <row r="29" s="90" customFormat="1" ht="54" customHeight="1" spans="1:255">
      <c r="A29" s="125" t="s">
        <v>912</v>
      </c>
      <c r="B29" s="125"/>
      <c r="C29" s="125"/>
      <c r="D29" s="125"/>
      <c r="E29" s="125"/>
      <c r="F29" s="125"/>
      <c r="G29" s="125"/>
      <c r="H29" s="125"/>
      <c r="I29" s="125"/>
      <c r="J29" s="125"/>
      <c r="K29" s="125"/>
      <c r="L29" s="125"/>
      <c r="M29" s="125"/>
      <c r="N29" s="125"/>
      <c r="O29" s="124"/>
      <c r="P29" s="124"/>
      <c r="Q29" s="124"/>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91"/>
      <c r="CE29" s="91"/>
      <c r="CF29" s="91"/>
      <c r="CG29" s="91"/>
      <c r="CH29" s="91"/>
      <c r="CI29" s="91"/>
      <c r="CJ29" s="91"/>
      <c r="CK29" s="91"/>
      <c r="CL29" s="91"/>
      <c r="CM29" s="91"/>
      <c r="CN29" s="91"/>
      <c r="CO29" s="91"/>
      <c r="CP29" s="91"/>
      <c r="CQ29" s="91"/>
      <c r="CR29" s="91"/>
      <c r="CS29" s="91"/>
      <c r="CT29" s="91"/>
      <c r="CU29" s="91"/>
      <c r="CV29" s="91"/>
      <c r="CW29" s="91"/>
      <c r="CX29" s="91"/>
      <c r="CY29" s="91"/>
      <c r="CZ29" s="91"/>
      <c r="DA29" s="91"/>
      <c r="DB29" s="91"/>
      <c r="DC29" s="91"/>
      <c r="DD29" s="91"/>
      <c r="DE29" s="91"/>
      <c r="DF29" s="91"/>
      <c r="DG29" s="91"/>
      <c r="DH29" s="91"/>
      <c r="DI29" s="91"/>
      <c r="DJ29" s="91"/>
      <c r="DK29" s="91"/>
      <c r="DL29" s="91"/>
      <c r="DM29" s="91"/>
      <c r="DN29" s="91"/>
      <c r="DO29" s="91"/>
      <c r="DP29" s="91"/>
      <c r="DQ29" s="91"/>
      <c r="DR29" s="91"/>
      <c r="DS29" s="91"/>
      <c r="DT29" s="91"/>
      <c r="DU29" s="91"/>
      <c r="DV29" s="91"/>
      <c r="DW29" s="91"/>
      <c r="DX29" s="91"/>
      <c r="DY29" s="91"/>
      <c r="DZ29" s="91"/>
      <c r="EA29" s="91"/>
      <c r="EB29" s="91"/>
      <c r="EC29" s="91"/>
      <c r="ED29" s="91"/>
      <c r="EE29" s="91"/>
      <c r="EF29" s="91"/>
      <c r="EG29" s="91"/>
      <c r="EH29" s="91"/>
      <c r="EI29" s="91"/>
      <c r="EJ29" s="91"/>
      <c r="EK29" s="91"/>
      <c r="EL29" s="91"/>
      <c r="EM29" s="91"/>
      <c r="EN29" s="91"/>
      <c r="EO29" s="91"/>
      <c r="EP29" s="91"/>
      <c r="EQ29" s="91"/>
      <c r="ER29" s="91"/>
      <c r="ES29" s="91"/>
      <c r="ET29" s="91"/>
      <c r="EU29" s="91"/>
      <c r="EV29" s="91"/>
      <c r="EW29" s="91"/>
      <c r="EX29" s="91"/>
      <c r="EY29" s="91"/>
      <c r="EZ29" s="91"/>
      <c r="FA29" s="91"/>
      <c r="FB29" s="91"/>
      <c r="FC29" s="91"/>
      <c r="FD29" s="91"/>
      <c r="FE29" s="91"/>
      <c r="FF29" s="91"/>
      <c r="FG29" s="91"/>
      <c r="FH29" s="91"/>
      <c r="FI29" s="91"/>
      <c r="FJ29" s="91"/>
      <c r="FK29" s="91"/>
      <c r="FL29" s="91"/>
      <c r="FM29" s="91"/>
      <c r="FN29" s="91"/>
      <c r="FO29" s="91"/>
      <c r="FP29" s="91"/>
      <c r="FQ29" s="91"/>
      <c r="FR29" s="91"/>
      <c r="FS29" s="91"/>
      <c r="FT29" s="91"/>
      <c r="FU29" s="91"/>
      <c r="FV29" s="91"/>
      <c r="FW29" s="91"/>
      <c r="FX29" s="91"/>
      <c r="FY29" s="91"/>
      <c r="FZ29" s="91"/>
      <c r="GA29" s="91"/>
      <c r="GB29" s="91"/>
      <c r="GC29" s="91"/>
      <c r="GD29" s="91"/>
      <c r="GE29" s="91"/>
      <c r="GF29" s="91"/>
      <c r="GG29" s="91"/>
      <c r="GH29" s="91"/>
      <c r="GI29" s="91"/>
      <c r="GJ29" s="91"/>
      <c r="GK29" s="91"/>
      <c r="GL29" s="91"/>
      <c r="GM29" s="91"/>
      <c r="GN29" s="91"/>
      <c r="GO29" s="91"/>
      <c r="GP29" s="91"/>
      <c r="GQ29" s="91"/>
      <c r="GR29" s="91"/>
      <c r="GS29" s="91"/>
      <c r="GT29" s="91"/>
      <c r="GU29" s="91"/>
      <c r="GV29" s="91"/>
      <c r="GW29" s="91"/>
      <c r="GX29" s="91"/>
      <c r="GY29" s="91"/>
      <c r="GZ29" s="91"/>
      <c r="HA29" s="91"/>
      <c r="HB29" s="91"/>
      <c r="HC29" s="91"/>
      <c r="HD29" s="91"/>
      <c r="HE29" s="91"/>
      <c r="HF29" s="91"/>
      <c r="HG29" s="91"/>
      <c r="HH29" s="91"/>
      <c r="HI29" s="91"/>
      <c r="HJ29" s="91"/>
      <c r="HK29" s="91"/>
      <c r="HL29" s="91"/>
      <c r="HM29" s="91"/>
      <c r="HN29" s="91"/>
      <c r="HO29" s="91"/>
      <c r="HP29" s="91"/>
      <c r="HQ29" s="91"/>
      <c r="HR29" s="91"/>
      <c r="HS29" s="91"/>
      <c r="HT29" s="91"/>
      <c r="HU29" s="91"/>
      <c r="HV29" s="91"/>
      <c r="HW29" s="91"/>
      <c r="HX29" s="91"/>
      <c r="HY29" s="91"/>
      <c r="HZ29" s="91"/>
      <c r="IA29" s="91"/>
      <c r="IB29" s="91"/>
      <c r="IC29" s="91"/>
      <c r="ID29" s="91"/>
      <c r="IE29" s="91"/>
      <c r="IF29" s="91"/>
      <c r="IG29" s="91"/>
      <c r="IH29" s="91"/>
      <c r="II29" s="91"/>
      <c r="IJ29" s="91"/>
      <c r="IK29" s="91"/>
      <c r="IL29" s="91"/>
      <c r="IM29" s="91"/>
      <c r="IN29" s="91"/>
      <c r="IO29" s="91"/>
      <c r="IP29" s="91"/>
      <c r="IQ29" s="91"/>
      <c r="IR29" s="91"/>
      <c r="IS29" s="91"/>
      <c r="IT29" s="91"/>
      <c r="IU29" s="91"/>
    </row>
    <row r="30" s="89" customFormat="1" ht="18" customHeight="1" spans="1:255">
      <c r="A30" s="125" t="s">
        <v>913</v>
      </c>
      <c r="B30" s="125"/>
      <c r="C30" s="125"/>
      <c r="D30" s="125"/>
      <c r="E30" s="125"/>
      <c r="F30" s="125"/>
      <c r="G30" s="125"/>
      <c r="H30" s="125"/>
      <c r="I30" s="125"/>
      <c r="J30" s="125"/>
      <c r="K30" s="125"/>
      <c r="L30" s="125"/>
      <c r="M30" s="125"/>
      <c r="N30" s="125"/>
      <c r="O30" s="124"/>
      <c r="P30" s="124"/>
      <c r="Q30" s="124"/>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1"/>
      <c r="CT30" s="91"/>
      <c r="CU30" s="91"/>
      <c r="CV30" s="91"/>
      <c r="CW30" s="91"/>
      <c r="CX30" s="91"/>
      <c r="CY30" s="91"/>
      <c r="CZ30" s="91"/>
      <c r="DA30" s="91"/>
      <c r="DB30" s="91"/>
      <c r="DC30" s="91"/>
      <c r="DD30" s="91"/>
      <c r="DE30" s="91"/>
      <c r="DF30" s="91"/>
      <c r="DG30" s="91"/>
      <c r="DH30" s="91"/>
      <c r="DI30" s="91"/>
      <c r="DJ30" s="91"/>
      <c r="DK30" s="91"/>
      <c r="DL30" s="91"/>
      <c r="DM30" s="91"/>
      <c r="DN30" s="91"/>
      <c r="DO30" s="91"/>
      <c r="DP30" s="91"/>
      <c r="DQ30" s="91"/>
      <c r="DR30" s="91"/>
      <c r="DS30" s="91"/>
      <c r="DT30" s="91"/>
      <c r="DU30" s="91"/>
      <c r="DV30" s="91"/>
      <c r="DW30" s="91"/>
      <c r="DX30" s="91"/>
      <c r="DY30" s="91"/>
      <c r="DZ30" s="91"/>
      <c r="EA30" s="91"/>
      <c r="EB30" s="91"/>
      <c r="EC30" s="91"/>
      <c r="ED30" s="91"/>
      <c r="EE30" s="91"/>
      <c r="EF30" s="91"/>
      <c r="EG30" s="91"/>
      <c r="EH30" s="91"/>
      <c r="EI30" s="91"/>
      <c r="EJ30" s="91"/>
      <c r="EK30" s="91"/>
      <c r="EL30" s="91"/>
      <c r="EM30" s="91"/>
      <c r="EN30" s="91"/>
      <c r="EO30" s="91"/>
      <c r="EP30" s="91"/>
      <c r="EQ30" s="91"/>
      <c r="ER30" s="91"/>
      <c r="ES30" s="91"/>
      <c r="ET30" s="91"/>
      <c r="EU30" s="91"/>
      <c r="EV30" s="91"/>
      <c r="EW30" s="91"/>
      <c r="EX30" s="91"/>
      <c r="EY30" s="91"/>
      <c r="EZ30" s="91"/>
      <c r="FA30" s="91"/>
      <c r="FB30" s="91"/>
      <c r="FC30" s="91"/>
      <c r="FD30" s="91"/>
      <c r="FE30" s="91"/>
      <c r="FF30" s="91"/>
      <c r="FG30" s="91"/>
      <c r="FH30" s="91"/>
      <c r="FI30" s="91"/>
      <c r="FJ30" s="91"/>
      <c r="FK30" s="91"/>
      <c r="FL30" s="91"/>
      <c r="FM30" s="91"/>
      <c r="FN30" s="91"/>
      <c r="FO30" s="91"/>
      <c r="FP30" s="91"/>
      <c r="FQ30" s="91"/>
      <c r="FR30" s="91"/>
      <c r="FS30" s="91"/>
      <c r="FT30" s="91"/>
      <c r="FU30" s="91"/>
      <c r="FV30" s="91"/>
      <c r="FW30" s="91"/>
      <c r="FX30" s="91"/>
      <c r="FY30" s="91"/>
      <c r="FZ30" s="91"/>
      <c r="GA30" s="91"/>
      <c r="GB30" s="91"/>
      <c r="GC30" s="91"/>
      <c r="GD30" s="91"/>
      <c r="GE30" s="91"/>
      <c r="GF30" s="91"/>
      <c r="GG30" s="91"/>
      <c r="GH30" s="91"/>
      <c r="GI30" s="91"/>
      <c r="GJ30" s="91"/>
      <c r="GK30" s="91"/>
      <c r="GL30" s="91"/>
      <c r="GM30" s="91"/>
      <c r="GN30" s="91"/>
      <c r="GO30" s="91"/>
      <c r="GP30" s="91"/>
      <c r="GQ30" s="91"/>
      <c r="GR30" s="91"/>
      <c r="GS30" s="91"/>
      <c r="GT30" s="91"/>
      <c r="GU30" s="91"/>
      <c r="GV30" s="91"/>
      <c r="GW30" s="91"/>
      <c r="GX30" s="91"/>
      <c r="GY30" s="91"/>
      <c r="GZ30" s="91"/>
      <c r="HA30" s="91"/>
      <c r="HB30" s="91"/>
      <c r="HC30" s="91"/>
      <c r="HD30" s="91"/>
      <c r="HE30" s="91"/>
      <c r="HF30" s="91"/>
      <c r="HG30" s="91"/>
      <c r="HH30" s="91"/>
      <c r="HI30" s="91"/>
      <c r="HJ30" s="91"/>
      <c r="HK30" s="91"/>
      <c r="HL30" s="91"/>
      <c r="HM30" s="91"/>
      <c r="HN30" s="91"/>
      <c r="HO30" s="91"/>
      <c r="HP30" s="91"/>
      <c r="HQ30" s="91"/>
      <c r="HR30" s="91"/>
      <c r="HS30" s="91"/>
      <c r="HT30" s="91"/>
      <c r="HU30" s="91"/>
      <c r="HV30" s="91"/>
      <c r="HW30" s="91"/>
      <c r="HX30" s="91"/>
      <c r="HY30" s="91"/>
      <c r="HZ30" s="91"/>
      <c r="IA30" s="91"/>
      <c r="IB30" s="91"/>
      <c r="IC30" s="91"/>
      <c r="ID30" s="91"/>
      <c r="IE30" s="91"/>
      <c r="IF30" s="91"/>
      <c r="IG30" s="91"/>
      <c r="IH30" s="91"/>
      <c r="II30" s="91"/>
      <c r="IJ30" s="91"/>
      <c r="IK30" s="91"/>
      <c r="IL30" s="91"/>
      <c r="IM30" s="91"/>
      <c r="IN30" s="91"/>
      <c r="IO30" s="91"/>
      <c r="IP30" s="91"/>
      <c r="IQ30" s="91"/>
      <c r="IR30" s="91"/>
      <c r="IS30" s="91"/>
      <c r="IT30" s="91"/>
      <c r="IU30" s="91"/>
    </row>
    <row r="31" s="90" customFormat="1" ht="36" customHeight="1" spans="1:255">
      <c r="A31" s="125" t="s">
        <v>914</v>
      </c>
      <c r="B31" s="125"/>
      <c r="C31" s="125"/>
      <c r="D31" s="125"/>
      <c r="E31" s="125"/>
      <c r="F31" s="125"/>
      <c r="G31" s="125"/>
      <c r="H31" s="125"/>
      <c r="I31" s="125"/>
      <c r="J31" s="125"/>
      <c r="K31" s="125"/>
      <c r="L31" s="125"/>
      <c r="M31" s="125"/>
      <c r="N31" s="125"/>
      <c r="O31" s="124"/>
      <c r="P31" s="124"/>
      <c r="Q31" s="124"/>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91"/>
      <c r="CE31" s="91"/>
      <c r="CF31" s="91"/>
      <c r="CG31" s="91"/>
      <c r="CH31" s="91"/>
      <c r="CI31" s="91"/>
      <c r="CJ31" s="91"/>
      <c r="CK31" s="91"/>
      <c r="CL31" s="91"/>
      <c r="CM31" s="91"/>
      <c r="CN31" s="91"/>
      <c r="CO31" s="91"/>
      <c r="CP31" s="91"/>
      <c r="CQ31" s="91"/>
      <c r="CR31" s="91"/>
      <c r="CS31" s="91"/>
      <c r="CT31" s="91"/>
      <c r="CU31" s="91"/>
      <c r="CV31" s="91"/>
      <c r="CW31" s="91"/>
      <c r="CX31" s="91"/>
      <c r="CY31" s="91"/>
      <c r="CZ31" s="91"/>
      <c r="DA31" s="91"/>
      <c r="DB31" s="91"/>
      <c r="DC31" s="91"/>
      <c r="DD31" s="91"/>
      <c r="DE31" s="91"/>
      <c r="DF31" s="91"/>
      <c r="DG31" s="91"/>
      <c r="DH31" s="91"/>
      <c r="DI31" s="91"/>
      <c r="DJ31" s="91"/>
      <c r="DK31" s="91"/>
      <c r="DL31" s="91"/>
      <c r="DM31" s="91"/>
      <c r="DN31" s="91"/>
      <c r="DO31" s="91"/>
      <c r="DP31" s="91"/>
      <c r="DQ31" s="91"/>
      <c r="DR31" s="91"/>
      <c r="DS31" s="91"/>
      <c r="DT31" s="91"/>
      <c r="DU31" s="91"/>
      <c r="DV31" s="91"/>
      <c r="DW31" s="91"/>
      <c r="DX31" s="91"/>
      <c r="DY31" s="91"/>
      <c r="DZ31" s="91"/>
      <c r="EA31" s="91"/>
      <c r="EB31" s="91"/>
      <c r="EC31" s="91"/>
      <c r="ED31" s="91"/>
      <c r="EE31" s="91"/>
      <c r="EF31" s="91"/>
      <c r="EG31" s="91"/>
      <c r="EH31" s="91"/>
      <c r="EI31" s="91"/>
      <c r="EJ31" s="91"/>
      <c r="EK31" s="91"/>
      <c r="EL31" s="91"/>
      <c r="EM31" s="91"/>
      <c r="EN31" s="91"/>
      <c r="EO31" s="91"/>
      <c r="EP31" s="91"/>
      <c r="EQ31" s="91"/>
      <c r="ER31" s="91"/>
      <c r="ES31" s="91"/>
      <c r="ET31" s="91"/>
      <c r="EU31" s="91"/>
      <c r="EV31" s="91"/>
      <c r="EW31" s="91"/>
      <c r="EX31" s="91"/>
      <c r="EY31" s="91"/>
      <c r="EZ31" s="91"/>
      <c r="FA31" s="91"/>
      <c r="FB31" s="91"/>
      <c r="FC31" s="91"/>
      <c r="FD31" s="91"/>
      <c r="FE31" s="91"/>
      <c r="FF31" s="91"/>
      <c r="FG31" s="91"/>
      <c r="FH31" s="91"/>
      <c r="FI31" s="91"/>
      <c r="FJ31" s="91"/>
      <c r="FK31" s="91"/>
      <c r="FL31" s="91"/>
      <c r="FM31" s="91"/>
      <c r="FN31" s="91"/>
      <c r="FO31" s="91"/>
      <c r="FP31" s="91"/>
      <c r="FQ31" s="91"/>
      <c r="FR31" s="91"/>
      <c r="FS31" s="91"/>
      <c r="FT31" s="91"/>
      <c r="FU31" s="91"/>
      <c r="FV31" s="91"/>
      <c r="FW31" s="91"/>
      <c r="FX31" s="91"/>
      <c r="FY31" s="91"/>
      <c r="FZ31" s="91"/>
      <c r="GA31" s="91"/>
      <c r="GB31" s="91"/>
      <c r="GC31" s="91"/>
      <c r="GD31" s="91"/>
      <c r="GE31" s="91"/>
      <c r="GF31" s="91"/>
      <c r="GG31" s="91"/>
      <c r="GH31" s="91"/>
      <c r="GI31" s="91"/>
      <c r="GJ31" s="91"/>
      <c r="GK31" s="91"/>
      <c r="GL31" s="91"/>
      <c r="GM31" s="91"/>
      <c r="GN31" s="91"/>
      <c r="GO31" s="91"/>
      <c r="GP31" s="91"/>
      <c r="GQ31" s="91"/>
      <c r="GR31" s="91"/>
      <c r="GS31" s="91"/>
      <c r="GT31" s="91"/>
      <c r="GU31" s="91"/>
      <c r="GV31" s="91"/>
      <c r="GW31" s="91"/>
      <c r="GX31" s="91"/>
      <c r="GY31" s="91"/>
      <c r="GZ31" s="91"/>
      <c r="HA31" s="91"/>
      <c r="HB31" s="91"/>
      <c r="HC31" s="91"/>
      <c r="HD31" s="91"/>
      <c r="HE31" s="91"/>
      <c r="HF31" s="91"/>
      <c r="HG31" s="91"/>
      <c r="HH31" s="91"/>
      <c r="HI31" s="91"/>
      <c r="HJ31" s="91"/>
      <c r="HK31" s="91"/>
      <c r="HL31" s="91"/>
      <c r="HM31" s="91"/>
      <c r="HN31" s="91"/>
      <c r="HO31" s="91"/>
      <c r="HP31" s="91"/>
      <c r="HQ31" s="91"/>
      <c r="HR31" s="91"/>
      <c r="HS31" s="91"/>
      <c r="HT31" s="91"/>
      <c r="HU31" s="91"/>
      <c r="HV31" s="91"/>
      <c r="HW31" s="91"/>
      <c r="HX31" s="91"/>
      <c r="HY31" s="91"/>
      <c r="HZ31" s="91"/>
      <c r="IA31" s="91"/>
      <c r="IB31" s="91"/>
      <c r="IC31" s="91"/>
      <c r="ID31" s="91"/>
      <c r="IE31" s="91"/>
      <c r="IF31" s="91"/>
      <c r="IG31" s="91"/>
      <c r="IH31" s="91"/>
      <c r="II31" s="91"/>
      <c r="IJ31" s="91"/>
      <c r="IK31" s="91"/>
      <c r="IL31" s="91"/>
      <c r="IM31" s="91"/>
      <c r="IN31" s="91"/>
      <c r="IO31" s="91"/>
      <c r="IP31" s="91"/>
      <c r="IQ31" s="91"/>
      <c r="IR31" s="91"/>
      <c r="IS31" s="91"/>
      <c r="IT31" s="91"/>
      <c r="IU31" s="91"/>
    </row>
    <row r="32" s="90" customFormat="1" ht="36" customHeight="1" spans="1:255">
      <c r="A32" s="125" t="s">
        <v>915</v>
      </c>
      <c r="B32" s="125"/>
      <c r="C32" s="125"/>
      <c r="D32" s="125"/>
      <c r="E32" s="125"/>
      <c r="F32" s="125"/>
      <c r="G32" s="125"/>
      <c r="H32" s="125"/>
      <c r="I32" s="125"/>
      <c r="J32" s="125"/>
      <c r="K32" s="125"/>
      <c r="L32" s="125"/>
      <c r="M32" s="125"/>
      <c r="N32" s="125"/>
      <c r="O32" s="124"/>
      <c r="P32" s="124"/>
      <c r="Q32" s="124"/>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1"/>
      <c r="CT32" s="91"/>
      <c r="CU32" s="91"/>
      <c r="CV32" s="91"/>
      <c r="CW32" s="91"/>
      <c r="CX32" s="91"/>
      <c r="CY32" s="91"/>
      <c r="CZ32" s="91"/>
      <c r="DA32" s="91"/>
      <c r="DB32" s="91"/>
      <c r="DC32" s="91"/>
      <c r="DD32" s="91"/>
      <c r="DE32" s="91"/>
      <c r="DF32" s="91"/>
      <c r="DG32" s="91"/>
      <c r="DH32" s="91"/>
      <c r="DI32" s="91"/>
      <c r="DJ32" s="91"/>
      <c r="DK32" s="91"/>
      <c r="DL32" s="91"/>
      <c r="DM32" s="91"/>
      <c r="DN32" s="91"/>
      <c r="DO32" s="91"/>
      <c r="DP32" s="91"/>
      <c r="DQ32" s="91"/>
      <c r="DR32" s="91"/>
      <c r="DS32" s="91"/>
      <c r="DT32" s="91"/>
      <c r="DU32" s="91"/>
      <c r="DV32" s="91"/>
      <c r="DW32" s="91"/>
      <c r="DX32" s="91"/>
      <c r="DY32" s="91"/>
      <c r="DZ32" s="91"/>
      <c r="EA32" s="91"/>
      <c r="EB32" s="91"/>
      <c r="EC32" s="91"/>
      <c r="ED32" s="91"/>
      <c r="EE32" s="91"/>
      <c r="EF32" s="91"/>
      <c r="EG32" s="91"/>
      <c r="EH32" s="91"/>
      <c r="EI32" s="91"/>
      <c r="EJ32" s="91"/>
      <c r="EK32" s="91"/>
      <c r="EL32" s="91"/>
      <c r="EM32" s="91"/>
      <c r="EN32" s="91"/>
      <c r="EO32" s="91"/>
      <c r="EP32" s="91"/>
      <c r="EQ32" s="91"/>
      <c r="ER32" s="91"/>
      <c r="ES32" s="91"/>
      <c r="ET32" s="91"/>
      <c r="EU32" s="91"/>
      <c r="EV32" s="91"/>
      <c r="EW32" s="91"/>
      <c r="EX32" s="91"/>
      <c r="EY32" s="91"/>
      <c r="EZ32" s="91"/>
      <c r="FA32" s="91"/>
      <c r="FB32" s="91"/>
      <c r="FC32" s="91"/>
      <c r="FD32" s="91"/>
      <c r="FE32" s="91"/>
      <c r="FF32" s="91"/>
      <c r="FG32" s="91"/>
      <c r="FH32" s="91"/>
      <c r="FI32" s="91"/>
      <c r="FJ32" s="91"/>
      <c r="FK32" s="91"/>
      <c r="FL32" s="91"/>
      <c r="FM32" s="91"/>
      <c r="FN32" s="91"/>
      <c r="FO32" s="91"/>
      <c r="FP32" s="91"/>
      <c r="FQ32" s="91"/>
      <c r="FR32" s="91"/>
      <c r="FS32" s="91"/>
      <c r="FT32" s="91"/>
      <c r="FU32" s="91"/>
      <c r="FV32" s="91"/>
      <c r="FW32" s="91"/>
      <c r="FX32" s="91"/>
      <c r="FY32" s="91"/>
      <c r="FZ32" s="91"/>
      <c r="GA32" s="91"/>
      <c r="GB32" s="91"/>
      <c r="GC32" s="91"/>
      <c r="GD32" s="91"/>
      <c r="GE32" s="91"/>
      <c r="GF32" s="91"/>
      <c r="GG32" s="91"/>
      <c r="GH32" s="91"/>
      <c r="GI32" s="91"/>
      <c r="GJ32" s="91"/>
      <c r="GK32" s="91"/>
      <c r="GL32" s="91"/>
      <c r="GM32" s="91"/>
      <c r="GN32" s="91"/>
      <c r="GO32" s="91"/>
      <c r="GP32" s="91"/>
      <c r="GQ32" s="91"/>
      <c r="GR32" s="91"/>
      <c r="GS32" s="91"/>
      <c r="GT32" s="91"/>
      <c r="GU32" s="91"/>
      <c r="GV32" s="91"/>
      <c r="GW32" s="91"/>
      <c r="GX32" s="91"/>
      <c r="GY32" s="91"/>
      <c r="GZ32" s="91"/>
      <c r="HA32" s="91"/>
      <c r="HB32" s="91"/>
      <c r="HC32" s="91"/>
      <c r="HD32" s="91"/>
      <c r="HE32" s="91"/>
      <c r="HF32" s="91"/>
      <c r="HG32" s="91"/>
      <c r="HH32" s="91"/>
      <c r="HI32" s="91"/>
      <c r="HJ32" s="91"/>
      <c r="HK32" s="91"/>
      <c r="HL32" s="91"/>
      <c r="HM32" s="91"/>
      <c r="HN32" s="91"/>
      <c r="HO32" s="91"/>
      <c r="HP32" s="91"/>
      <c r="HQ32" s="91"/>
      <c r="HR32" s="91"/>
      <c r="HS32" s="91"/>
      <c r="HT32" s="91"/>
      <c r="HU32" s="91"/>
      <c r="HV32" s="91"/>
      <c r="HW32" s="91"/>
      <c r="HX32" s="91"/>
      <c r="HY32" s="91"/>
      <c r="HZ32" s="91"/>
      <c r="IA32" s="91"/>
      <c r="IB32" s="91"/>
      <c r="IC32" s="91"/>
      <c r="ID32" s="91"/>
      <c r="IE32" s="91"/>
      <c r="IF32" s="91"/>
      <c r="IG32" s="91"/>
      <c r="IH32" s="91"/>
      <c r="II32" s="91"/>
      <c r="IJ32" s="91"/>
      <c r="IK32" s="91"/>
      <c r="IL32" s="91"/>
      <c r="IM32" s="91"/>
      <c r="IN32" s="91"/>
      <c r="IO32" s="91"/>
      <c r="IP32" s="91"/>
      <c r="IQ32" s="91"/>
      <c r="IR32" s="91"/>
      <c r="IS32" s="91"/>
      <c r="IT32" s="91"/>
      <c r="IU32" s="91"/>
    </row>
    <row r="33" s="90" customFormat="1" ht="54" customHeight="1" spans="1:255">
      <c r="A33" s="125" t="s">
        <v>916</v>
      </c>
      <c r="B33" s="125"/>
      <c r="C33" s="125"/>
      <c r="D33" s="125"/>
      <c r="E33" s="125"/>
      <c r="F33" s="125"/>
      <c r="G33" s="125"/>
      <c r="H33" s="125"/>
      <c r="I33" s="125"/>
      <c r="J33" s="125"/>
      <c r="K33" s="125"/>
      <c r="L33" s="125"/>
      <c r="M33" s="125"/>
      <c r="N33" s="125"/>
      <c r="O33" s="124"/>
      <c r="P33" s="124"/>
      <c r="Q33" s="124"/>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91"/>
      <c r="CE33" s="91"/>
      <c r="CF33" s="91"/>
      <c r="CG33" s="91"/>
      <c r="CH33" s="91"/>
      <c r="CI33" s="91"/>
      <c r="CJ33" s="91"/>
      <c r="CK33" s="91"/>
      <c r="CL33" s="91"/>
      <c r="CM33" s="91"/>
      <c r="CN33" s="91"/>
      <c r="CO33" s="91"/>
      <c r="CP33" s="91"/>
      <c r="CQ33" s="91"/>
      <c r="CR33" s="91"/>
      <c r="CS33" s="91"/>
      <c r="CT33" s="91"/>
      <c r="CU33" s="91"/>
      <c r="CV33" s="91"/>
      <c r="CW33" s="91"/>
      <c r="CX33" s="91"/>
      <c r="CY33" s="91"/>
      <c r="CZ33" s="91"/>
      <c r="DA33" s="91"/>
      <c r="DB33" s="91"/>
      <c r="DC33" s="91"/>
      <c r="DD33" s="91"/>
      <c r="DE33" s="91"/>
      <c r="DF33" s="91"/>
      <c r="DG33" s="91"/>
      <c r="DH33" s="91"/>
      <c r="DI33" s="91"/>
      <c r="DJ33" s="91"/>
      <c r="DK33" s="91"/>
      <c r="DL33" s="91"/>
      <c r="DM33" s="91"/>
      <c r="DN33" s="91"/>
      <c r="DO33" s="91"/>
      <c r="DP33" s="91"/>
      <c r="DQ33" s="91"/>
      <c r="DR33" s="91"/>
      <c r="DS33" s="91"/>
      <c r="DT33" s="91"/>
      <c r="DU33" s="91"/>
      <c r="DV33" s="91"/>
      <c r="DW33" s="91"/>
      <c r="DX33" s="91"/>
      <c r="DY33" s="91"/>
      <c r="DZ33" s="91"/>
      <c r="EA33" s="91"/>
      <c r="EB33" s="91"/>
      <c r="EC33" s="91"/>
      <c r="ED33" s="91"/>
      <c r="EE33" s="91"/>
      <c r="EF33" s="91"/>
      <c r="EG33" s="91"/>
      <c r="EH33" s="91"/>
      <c r="EI33" s="91"/>
      <c r="EJ33" s="91"/>
      <c r="EK33" s="91"/>
      <c r="EL33" s="91"/>
      <c r="EM33" s="91"/>
      <c r="EN33" s="91"/>
      <c r="EO33" s="91"/>
      <c r="EP33" s="91"/>
      <c r="EQ33" s="91"/>
      <c r="ER33" s="91"/>
      <c r="ES33" s="91"/>
      <c r="ET33" s="91"/>
      <c r="EU33" s="91"/>
      <c r="EV33" s="91"/>
      <c r="EW33" s="91"/>
      <c r="EX33" s="91"/>
      <c r="EY33" s="91"/>
      <c r="EZ33" s="91"/>
      <c r="FA33" s="91"/>
      <c r="FB33" s="91"/>
      <c r="FC33" s="91"/>
      <c r="FD33" s="91"/>
      <c r="FE33" s="91"/>
      <c r="FF33" s="91"/>
      <c r="FG33" s="91"/>
      <c r="FH33" s="91"/>
      <c r="FI33" s="91"/>
      <c r="FJ33" s="91"/>
      <c r="FK33" s="91"/>
      <c r="FL33" s="91"/>
      <c r="FM33" s="91"/>
      <c r="FN33" s="91"/>
      <c r="FO33" s="91"/>
      <c r="FP33" s="91"/>
      <c r="FQ33" s="91"/>
      <c r="FR33" s="91"/>
      <c r="FS33" s="91"/>
      <c r="FT33" s="91"/>
      <c r="FU33" s="91"/>
      <c r="FV33" s="91"/>
      <c r="FW33" s="91"/>
      <c r="FX33" s="91"/>
      <c r="FY33" s="91"/>
      <c r="FZ33" s="91"/>
      <c r="GA33" s="91"/>
      <c r="GB33" s="91"/>
      <c r="GC33" s="91"/>
      <c r="GD33" s="91"/>
      <c r="GE33" s="91"/>
      <c r="GF33" s="91"/>
      <c r="GG33" s="91"/>
      <c r="GH33" s="91"/>
      <c r="GI33" s="91"/>
      <c r="GJ33" s="91"/>
      <c r="GK33" s="91"/>
      <c r="GL33" s="91"/>
      <c r="GM33" s="91"/>
      <c r="GN33" s="91"/>
      <c r="GO33" s="91"/>
      <c r="GP33" s="91"/>
      <c r="GQ33" s="91"/>
      <c r="GR33" s="91"/>
      <c r="GS33" s="91"/>
      <c r="GT33" s="91"/>
      <c r="GU33" s="91"/>
      <c r="GV33" s="91"/>
      <c r="GW33" s="91"/>
      <c r="GX33" s="91"/>
      <c r="GY33" s="91"/>
      <c r="GZ33" s="91"/>
      <c r="HA33" s="91"/>
      <c r="HB33" s="91"/>
      <c r="HC33" s="91"/>
      <c r="HD33" s="91"/>
      <c r="HE33" s="91"/>
      <c r="HF33" s="91"/>
      <c r="HG33" s="91"/>
      <c r="HH33" s="91"/>
      <c r="HI33" s="91"/>
      <c r="HJ33" s="91"/>
      <c r="HK33" s="91"/>
      <c r="HL33" s="91"/>
      <c r="HM33" s="91"/>
      <c r="HN33" s="91"/>
      <c r="HO33" s="91"/>
      <c r="HP33" s="91"/>
      <c r="HQ33" s="91"/>
      <c r="HR33" s="91"/>
      <c r="HS33" s="91"/>
      <c r="HT33" s="91"/>
      <c r="HU33" s="91"/>
      <c r="HV33" s="91"/>
      <c r="HW33" s="91"/>
      <c r="HX33" s="91"/>
      <c r="HY33" s="91"/>
      <c r="HZ33" s="91"/>
      <c r="IA33" s="91"/>
      <c r="IB33" s="91"/>
      <c r="IC33" s="91"/>
      <c r="ID33" s="91"/>
      <c r="IE33" s="91"/>
      <c r="IF33" s="91"/>
      <c r="IG33" s="91"/>
      <c r="IH33" s="91"/>
      <c r="II33" s="91"/>
      <c r="IJ33" s="91"/>
      <c r="IK33" s="91"/>
      <c r="IL33" s="91"/>
      <c r="IM33" s="91"/>
      <c r="IN33" s="91"/>
      <c r="IO33" s="91"/>
      <c r="IP33" s="91"/>
      <c r="IQ33" s="91"/>
      <c r="IR33" s="91"/>
      <c r="IS33" s="91"/>
      <c r="IT33" s="91"/>
      <c r="IU33" s="91"/>
    </row>
    <row r="34" s="90" customFormat="1" ht="36" customHeight="1" spans="1:255">
      <c r="A34" s="125" t="s">
        <v>917</v>
      </c>
      <c r="B34" s="125"/>
      <c r="C34" s="125"/>
      <c r="D34" s="125"/>
      <c r="E34" s="125"/>
      <c r="F34" s="125"/>
      <c r="G34" s="125"/>
      <c r="H34" s="125"/>
      <c r="I34" s="125"/>
      <c r="J34" s="125"/>
      <c r="K34" s="125"/>
      <c r="L34" s="125"/>
      <c r="M34" s="125"/>
      <c r="N34" s="125"/>
      <c r="O34" s="124"/>
      <c r="P34" s="124"/>
      <c r="Q34" s="124"/>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91"/>
      <c r="CE34" s="91"/>
      <c r="CF34" s="91"/>
      <c r="CG34" s="91"/>
      <c r="CH34" s="91"/>
      <c r="CI34" s="91"/>
      <c r="CJ34" s="91"/>
      <c r="CK34" s="91"/>
      <c r="CL34" s="91"/>
      <c r="CM34" s="91"/>
      <c r="CN34" s="91"/>
      <c r="CO34" s="91"/>
      <c r="CP34" s="91"/>
      <c r="CQ34" s="91"/>
      <c r="CR34" s="91"/>
      <c r="CS34" s="91"/>
      <c r="CT34" s="91"/>
      <c r="CU34" s="91"/>
      <c r="CV34" s="91"/>
      <c r="CW34" s="91"/>
      <c r="CX34" s="91"/>
      <c r="CY34" s="91"/>
      <c r="CZ34" s="91"/>
      <c r="DA34" s="91"/>
      <c r="DB34" s="91"/>
      <c r="DC34" s="91"/>
      <c r="DD34" s="91"/>
      <c r="DE34" s="91"/>
      <c r="DF34" s="91"/>
      <c r="DG34" s="91"/>
      <c r="DH34" s="91"/>
      <c r="DI34" s="91"/>
      <c r="DJ34" s="91"/>
      <c r="DK34" s="91"/>
      <c r="DL34" s="91"/>
      <c r="DM34" s="91"/>
      <c r="DN34" s="91"/>
      <c r="DO34" s="91"/>
      <c r="DP34" s="91"/>
      <c r="DQ34" s="91"/>
      <c r="DR34" s="91"/>
      <c r="DS34" s="91"/>
      <c r="DT34" s="91"/>
      <c r="DU34" s="91"/>
      <c r="DV34" s="91"/>
      <c r="DW34" s="91"/>
      <c r="DX34" s="91"/>
      <c r="DY34" s="91"/>
      <c r="DZ34" s="91"/>
      <c r="EA34" s="91"/>
      <c r="EB34" s="91"/>
      <c r="EC34" s="91"/>
      <c r="ED34" s="91"/>
      <c r="EE34" s="91"/>
      <c r="EF34" s="91"/>
      <c r="EG34" s="91"/>
      <c r="EH34" s="91"/>
      <c r="EI34" s="91"/>
      <c r="EJ34" s="91"/>
      <c r="EK34" s="91"/>
      <c r="EL34" s="91"/>
      <c r="EM34" s="91"/>
      <c r="EN34" s="91"/>
      <c r="EO34" s="91"/>
      <c r="EP34" s="91"/>
      <c r="EQ34" s="91"/>
      <c r="ER34" s="91"/>
      <c r="ES34" s="91"/>
      <c r="ET34" s="91"/>
      <c r="EU34" s="91"/>
      <c r="EV34" s="91"/>
      <c r="EW34" s="91"/>
      <c r="EX34" s="91"/>
      <c r="EY34" s="91"/>
      <c r="EZ34" s="91"/>
      <c r="FA34" s="91"/>
      <c r="FB34" s="91"/>
      <c r="FC34" s="91"/>
      <c r="FD34" s="91"/>
      <c r="FE34" s="91"/>
      <c r="FF34" s="91"/>
      <c r="FG34" s="91"/>
      <c r="FH34" s="91"/>
      <c r="FI34" s="91"/>
      <c r="FJ34" s="91"/>
      <c r="FK34" s="91"/>
      <c r="FL34" s="91"/>
      <c r="FM34" s="91"/>
      <c r="FN34" s="91"/>
      <c r="FO34" s="91"/>
      <c r="FP34" s="91"/>
      <c r="FQ34" s="91"/>
      <c r="FR34" s="91"/>
      <c r="FS34" s="91"/>
      <c r="FT34" s="91"/>
      <c r="FU34" s="91"/>
      <c r="FV34" s="91"/>
      <c r="FW34" s="91"/>
      <c r="FX34" s="91"/>
      <c r="FY34" s="91"/>
      <c r="FZ34" s="91"/>
      <c r="GA34" s="91"/>
      <c r="GB34" s="91"/>
      <c r="GC34" s="91"/>
      <c r="GD34" s="91"/>
      <c r="GE34" s="91"/>
      <c r="GF34" s="91"/>
      <c r="GG34" s="91"/>
      <c r="GH34" s="91"/>
      <c r="GI34" s="91"/>
      <c r="GJ34" s="91"/>
      <c r="GK34" s="91"/>
      <c r="GL34" s="91"/>
      <c r="GM34" s="91"/>
      <c r="GN34" s="91"/>
      <c r="GO34" s="91"/>
      <c r="GP34" s="91"/>
      <c r="GQ34" s="91"/>
      <c r="GR34" s="91"/>
      <c r="GS34" s="91"/>
      <c r="GT34" s="91"/>
      <c r="GU34" s="91"/>
      <c r="GV34" s="91"/>
      <c r="GW34" s="91"/>
      <c r="GX34" s="91"/>
      <c r="GY34" s="91"/>
      <c r="GZ34" s="91"/>
      <c r="HA34" s="91"/>
      <c r="HB34" s="91"/>
      <c r="HC34" s="91"/>
      <c r="HD34" s="91"/>
      <c r="HE34" s="91"/>
      <c r="HF34" s="91"/>
      <c r="HG34" s="91"/>
      <c r="HH34" s="91"/>
      <c r="HI34" s="91"/>
      <c r="HJ34" s="91"/>
      <c r="HK34" s="91"/>
      <c r="HL34" s="91"/>
      <c r="HM34" s="91"/>
      <c r="HN34" s="91"/>
      <c r="HO34" s="91"/>
      <c r="HP34" s="91"/>
      <c r="HQ34" s="91"/>
      <c r="HR34" s="91"/>
      <c r="HS34" s="91"/>
      <c r="HT34" s="91"/>
      <c r="HU34" s="91"/>
      <c r="HV34" s="91"/>
      <c r="HW34" s="91"/>
      <c r="HX34" s="91"/>
      <c r="HY34" s="91"/>
      <c r="HZ34" s="91"/>
      <c r="IA34" s="91"/>
      <c r="IB34" s="91"/>
      <c r="IC34" s="91"/>
      <c r="ID34" s="91"/>
      <c r="IE34" s="91"/>
      <c r="IF34" s="91"/>
      <c r="IG34" s="91"/>
      <c r="IH34" s="91"/>
      <c r="II34" s="91"/>
      <c r="IJ34" s="91"/>
      <c r="IK34" s="91"/>
      <c r="IL34" s="91"/>
      <c r="IM34" s="91"/>
      <c r="IN34" s="91"/>
      <c r="IO34" s="91"/>
      <c r="IP34" s="91"/>
      <c r="IQ34" s="91"/>
      <c r="IR34" s="91"/>
      <c r="IS34" s="91"/>
      <c r="IT34" s="91"/>
      <c r="IU34" s="91"/>
    </row>
    <row r="35" s="89" customFormat="1" ht="18" customHeight="1" spans="1:255">
      <c r="A35" s="121" t="s">
        <v>918</v>
      </c>
      <c r="B35" s="121"/>
      <c r="C35" s="121"/>
      <c r="D35" s="121"/>
      <c r="E35" s="121"/>
      <c r="F35" s="121"/>
      <c r="G35" s="121"/>
      <c r="H35" s="121"/>
      <c r="I35" s="121"/>
      <c r="J35" s="121"/>
      <c r="K35" s="121"/>
      <c r="L35" s="121"/>
      <c r="M35" s="121"/>
      <c r="N35" s="121"/>
      <c r="O35" s="122"/>
      <c r="P35" s="122"/>
      <c r="Q35" s="122"/>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1"/>
      <c r="CT35" s="91"/>
      <c r="CU35" s="91"/>
      <c r="CV35" s="91"/>
      <c r="CW35" s="91"/>
      <c r="CX35" s="91"/>
      <c r="CY35" s="91"/>
      <c r="CZ35" s="91"/>
      <c r="DA35" s="91"/>
      <c r="DB35" s="91"/>
      <c r="DC35" s="91"/>
      <c r="DD35" s="91"/>
      <c r="DE35" s="91"/>
      <c r="DF35" s="91"/>
      <c r="DG35" s="91"/>
      <c r="DH35" s="91"/>
      <c r="DI35" s="91"/>
      <c r="DJ35" s="91"/>
      <c r="DK35" s="91"/>
      <c r="DL35" s="91"/>
      <c r="DM35" s="91"/>
      <c r="DN35" s="91"/>
      <c r="DO35" s="91"/>
      <c r="DP35" s="91"/>
      <c r="DQ35" s="91"/>
      <c r="DR35" s="91"/>
      <c r="DS35" s="91"/>
      <c r="DT35" s="91"/>
      <c r="DU35" s="91"/>
      <c r="DV35" s="91"/>
      <c r="DW35" s="91"/>
      <c r="DX35" s="91"/>
      <c r="DY35" s="91"/>
      <c r="DZ35" s="91"/>
      <c r="EA35" s="91"/>
      <c r="EB35" s="91"/>
      <c r="EC35" s="91"/>
      <c r="ED35" s="91"/>
      <c r="EE35" s="91"/>
      <c r="EF35" s="91"/>
      <c r="EG35" s="91"/>
      <c r="EH35" s="91"/>
      <c r="EI35" s="91"/>
      <c r="EJ35" s="91"/>
      <c r="EK35" s="91"/>
      <c r="EL35" s="91"/>
      <c r="EM35" s="91"/>
      <c r="EN35" s="91"/>
      <c r="EO35" s="91"/>
      <c r="EP35" s="91"/>
      <c r="EQ35" s="91"/>
      <c r="ER35" s="91"/>
      <c r="ES35" s="91"/>
      <c r="ET35" s="91"/>
      <c r="EU35" s="91"/>
      <c r="EV35" s="91"/>
      <c r="EW35" s="91"/>
      <c r="EX35" s="91"/>
      <c r="EY35" s="91"/>
      <c r="EZ35" s="91"/>
      <c r="FA35" s="91"/>
      <c r="FB35" s="91"/>
      <c r="FC35" s="91"/>
      <c r="FD35" s="91"/>
      <c r="FE35" s="91"/>
      <c r="FF35" s="91"/>
      <c r="FG35" s="91"/>
      <c r="FH35" s="91"/>
      <c r="FI35" s="91"/>
      <c r="FJ35" s="91"/>
      <c r="FK35" s="91"/>
      <c r="FL35" s="91"/>
      <c r="FM35" s="91"/>
      <c r="FN35" s="91"/>
      <c r="FO35" s="91"/>
      <c r="FP35" s="91"/>
      <c r="FQ35" s="91"/>
      <c r="FR35" s="91"/>
      <c r="FS35" s="91"/>
      <c r="FT35" s="91"/>
      <c r="FU35" s="91"/>
      <c r="FV35" s="91"/>
      <c r="FW35" s="91"/>
      <c r="FX35" s="91"/>
      <c r="FY35" s="91"/>
      <c r="FZ35" s="91"/>
      <c r="GA35" s="91"/>
      <c r="GB35" s="91"/>
      <c r="GC35" s="91"/>
      <c r="GD35" s="91"/>
      <c r="GE35" s="91"/>
      <c r="GF35" s="91"/>
      <c r="GG35" s="91"/>
      <c r="GH35" s="91"/>
      <c r="GI35" s="91"/>
      <c r="GJ35" s="91"/>
      <c r="GK35" s="91"/>
      <c r="GL35" s="91"/>
      <c r="GM35" s="91"/>
      <c r="GN35" s="91"/>
      <c r="GO35" s="91"/>
      <c r="GP35" s="91"/>
      <c r="GQ35" s="91"/>
      <c r="GR35" s="91"/>
      <c r="GS35" s="91"/>
      <c r="GT35" s="91"/>
      <c r="GU35" s="91"/>
      <c r="GV35" s="91"/>
      <c r="GW35" s="91"/>
      <c r="GX35" s="91"/>
      <c r="GY35" s="91"/>
      <c r="GZ35" s="91"/>
      <c r="HA35" s="91"/>
      <c r="HB35" s="91"/>
      <c r="HC35" s="91"/>
      <c r="HD35" s="91"/>
      <c r="HE35" s="91"/>
      <c r="HF35" s="91"/>
      <c r="HG35" s="91"/>
      <c r="HH35" s="91"/>
      <c r="HI35" s="91"/>
      <c r="HJ35" s="91"/>
      <c r="HK35" s="91"/>
      <c r="HL35" s="91"/>
      <c r="HM35" s="91"/>
      <c r="HN35" s="91"/>
      <c r="HO35" s="91"/>
      <c r="HP35" s="91"/>
      <c r="HQ35" s="91"/>
      <c r="HR35" s="91"/>
      <c r="HS35" s="91"/>
      <c r="HT35" s="91"/>
      <c r="HU35" s="91"/>
      <c r="HV35" s="91"/>
      <c r="HW35" s="91"/>
      <c r="HX35" s="91"/>
      <c r="HY35" s="91"/>
      <c r="HZ35" s="91"/>
      <c r="IA35" s="91"/>
      <c r="IB35" s="91"/>
      <c r="IC35" s="91"/>
      <c r="ID35" s="91"/>
      <c r="IE35" s="91"/>
      <c r="IF35" s="91"/>
      <c r="IG35" s="91"/>
      <c r="IH35" s="91"/>
      <c r="II35" s="91"/>
      <c r="IJ35" s="91"/>
      <c r="IK35" s="91"/>
      <c r="IL35" s="91"/>
      <c r="IM35" s="91"/>
      <c r="IN35" s="91"/>
      <c r="IO35" s="91"/>
      <c r="IP35" s="91"/>
      <c r="IQ35" s="91"/>
      <c r="IR35" s="91"/>
      <c r="IS35" s="91"/>
      <c r="IT35" s="91"/>
      <c r="IU35" s="91"/>
    </row>
    <row r="36" s="89" customFormat="1" ht="18" customHeight="1" spans="1:255">
      <c r="A36" s="123" t="s">
        <v>919</v>
      </c>
      <c r="B36" s="123"/>
      <c r="C36" s="123"/>
      <c r="D36" s="123"/>
      <c r="E36" s="123"/>
      <c r="F36" s="123"/>
      <c r="G36" s="123"/>
      <c r="H36" s="123"/>
      <c r="I36" s="123"/>
      <c r="J36" s="123"/>
      <c r="K36" s="123"/>
      <c r="L36" s="123"/>
      <c r="M36" s="123"/>
      <c r="N36" s="123"/>
      <c r="O36" s="124"/>
      <c r="P36" s="124"/>
      <c r="Q36" s="124"/>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91"/>
      <c r="CE36" s="91"/>
      <c r="CF36" s="91"/>
      <c r="CG36" s="91"/>
      <c r="CH36" s="91"/>
      <c r="CI36" s="91"/>
      <c r="CJ36" s="91"/>
      <c r="CK36" s="91"/>
      <c r="CL36" s="91"/>
      <c r="CM36" s="91"/>
      <c r="CN36" s="91"/>
      <c r="CO36" s="91"/>
      <c r="CP36" s="91"/>
      <c r="CQ36" s="91"/>
      <c r="CR36" s="91"/>
      <c r="CS36" s="91"/>
      <c r="CT36" s="91"/>
      <c r="CU36" s="91"/>
      <c r="CV36" s="91"/>
      <c r="CW36" s="91"/>
      <c r="CX36" s="91"/>
      <c r="CY36" s="91"/>
      <c r="CZ36" s="91"/>
      <c r="DA36" s="91"/>
      <c r="DB36" s="91"/>
      <c r="DC36" s="91"/>
      <c r="DD36" s="91"/>
      <c r="DE36" s="91"/>
      <c r="DF36" s="91"/>
      <c r="DG36" s="91"/>
      <c r="DH36" s="91"/>
      <c r="DI36" s="91"/>
      <c r="DJ36" s="91"/>
      <c r="DK36" s="91"/>
      <c r="DL36" s="91"/>
      <c r="DM36" s="91"/>
      <c r="DN36" s="91"/>
      <c r="DO36" s="91"/>
      <c r="DP36" s="91"/>
      <c r="DQ36" s="91"/>
      <c r="DR36" s="91"/>
      <c r="DS36" s="91"/>
      <c r="DT36" s="91"/>
      <c r="DU36" s="91"/>
      <c r="DV36" s="91"/>
      <c r="DW36" s="91"/>
      <c r="DX36" s="91"/>
      <c r="DY36" s="91"/>
      <c r="DZ36" s="91"/>
      <c r="EA36" s="91"/>
      <c r="EB36" s="91"/>
      <c r="EC36" s="91"/>
      <c r="ED36" s="91"/>
      <c r="EE36" s="91"/>
      <c r="EF36" s="91"/>
      <c r="EG36" s="91"/>
      <c r="EH36" s="91"/>
      <c r="EI36" s="91"/>
      <c r="EJ36" s="91"/>
      <c r="EK36" s="91"/>
      <c r="EL36" s="91"/>
      <c r="EM36" s="91"/>
      <c r="EN36" s="91"/>
      <c r="EO36" s="91"/>
      <c r="EP36" s="91"/>
      <c r="EQ36" s="91"/>
      <c r="ER36" s="91"/>
      <c r="ES36" s="91"/>
      <c r="ET36" s="91"/>
      <c r="EU36" s="91"/>
      <c r="EV36" s="91"/>
      <c r="EW36" s="91"/>
      <c r="EX36" s="91"/>
      <c r="EY36" s="91"/>
      <c r="EZ36" s="91"/>
      <c r="FA36" s="91"/>
      <c r="FB36" s="91"/>
      <c r="FC36" s="91"/>
      <c r="FD36" s="91"/>
      <c r="FE36" s="91"/>
      <c r="FF36" s="91"/>
      <c r="FG36" s="91"/>
      <c r="FH36" s="91"/>
      <c r="FI36" s="91"/>
      <c r="FJ36" s="91"/>
      <c r="FK36" s="91"/>
      <c r="FL36" s="91"/>
      <c r="FM36" s="91"/>
      <c r="FN36" s="91"/>
      <c r="FO36" s="91"/>
      <c r="FP36" s="91"/>
      <c r="FQ36" s="91"/>
      <c r="FR36" s="91"/>
      <c r="FS36" s="91"/>
      <c r="FT36" s="91"/>
      <c r="FU36" s="91"/>
      <c r="FV36" s="91"/>
      <c r="FW36" s="91"/>
      <c r="FX36" s="91"/>
      <c r="FY36" s="91"/>
      <c r="FZ36" s="91"/>
      <c r="GA36" s="91"/>
      <c r="GB36" s="91"/>
      <c r="GC36" s="91"/>
      <c r="GD36" s="91"/>
      <c r="GE36" s="91"/>
      <c r="GF36" s="91"/>
      <c r="GG36" s="91"/>
      <c r="GH36" s="91"/>
      <c r="GI36" s="91"/>
      <c r="GJ36" s="91"/>
      <c r="GK36" s="91"/>
      <c r="GL36" s="91"/>
      <c r="GM36" s="91"/>
      <c r="GN36" s="91"/>
      <c r="GO36" s="91"/>
      <c r="GP36" s="91"/>
      <c r="GQ36" s="91"/>
      <c r="GR36" s="91"/>
      <c r="GS36" s="91"/>
      <c r="GT36" s="91"/>
      <c r="GU36" s="91"/>
      <c r="GV36" s="91"/>
      <c r="GW36" s="91"/>
      <c r="GX36" s="91"/>
      <c r="GY36" s="91"/>
      <c r="GZ36" s="91"/>
      <c r="HA36" s="91"/>
      <c r="HB36" s="91"/>
      <c r="HC36" s="91"/>
      <c r="HD36" s="91"/>
      <c r="HE36" s="91"/>
      <c r="HF36" s="91"/>
      <c r="HG36" s="91"/>
      <c r="HH36" s="91"/>
      <c r="HI36" s="91"/>
      <c r="HJ36" s="91"/>
      <c r="HK36" s="91"/>
      <c r="HL36" s="91"/>
      <c r="HM36" s="91"/>
      <c r="HN36" s="91"/>
      <c r="HO36" s="91"/>
      <c r="HP36" s="91"/>
      <c r="HQ36" s="91"/>
      <c r="HR36" s="91"/>
      <c r="HS36" s="91"/>
      <c r="HT36" s="91"/>
      <c r="HU36" s="91"/>
      <c r="HV36" s="91"/>
      <c r="HW36" s="91"/>
      <c r="HX36" s="91"/>
      <c r="HY36" s="91"/>
      <c r="HZ36" s="91"/>
      <c r="IA36" s="91"/>
      <c r="IB36" s="91"/>
      <c r="IC36" s="91"/>
      <c r="ID36" s="91"/>
      <c r="IE36" s="91"/>
      <c r="IF36" s="91"/>
      <c r="IG36" s="91"/>
      <c r="IH36" s="91"/>
      <c r="II36" s="91"/>
      <c r="IJ36" s="91"/>
      <c r="IK36" s="91"/>
      <c r="IL36" s="91"/>
      <c r="IM36" s="91"/>
      <c r="IN36" s="91"/>
      <c r="IO36" s="91"/>
      <c r="IP36" s="91"/>
      <c r="IQ36" s="91"/>
      <c r="IR36" s="91"/>
      <c r="IS36" s="91"/>
      <c r="IT36" s="91"/>
      <c r="IU36" s="91"/>
    </row>
    <row r="37" s="89" customFormat="1" ht="18" customHeight="1" spans="1:255">
      <c r="A37" s="123" t="s">
        <v>920</v>
      </c>
      <c r="B37" s="123"/>
      <c r="C37" s="123"/>
      <c r="D37" s="123"/>
      <c r="E37" s="123"/>
      <c r="F37" s="123"/>
      <c r="G37" s="123"/>
      <c r="H37" s="123"/>
      <c r="I37" s="123"/>
      <c r="J37" s="123"/>
      <c r="K37" s="123"/>
      <c r="L37" s="123"/>
      <c r="M37" s="123"/>
      <c r="N37" s="123"/>
      <c r="O37" s="124"/>
      <c r="P37" s="124"/>
      <c r="Q37" s="124"/>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91"/>
      <c r="CE37" s="91"/>
      <c r="CF37" s="91"/>
      <c r="CG37" s="91"/>
      <c r="CH37" s="91"/>
      <c r="CI37" s="91"/>
      <c r="CJ37" s="91"/>
      <c r="CK37" s="91"/>
      <c r="CL37" s="91"/>
      <c r="CM37" s="91"/>
      <c r="CN37" s="91"/>
      <c r="CO37" s="91"/>
      <c r="CP37" s="91"/>
      <c r="CQ37" s="91"/>
      <c r="CR37" s="91"/>
      <c r="CS37" s="91"/>
      <c r="CT37" s="91"/>
      <c r="CU37" s="91"/>
      <c r="CV37" s="91"/>
      <c r="CW37" s="91"/>
      <c r="CX37" s="91"/>
      <c r="CY37" s="91"/>
      <c r="CZ37" s="91"/>
      <c r="DA37" s="91"/>
      <c r="DB37" s="91"/>
      <c r="DC37" s="91"/>
      <c r="DD37" s="91"/>
      <c r="DE37" s="91"/>
      <c r="DF37" s="91"/>
      <c r="DG37" s="91"/>
      <c r="DH37" s="91"/>
      <c r="DI37" s="91"/>
      <c r="DJ37" s="91"/>
      <c r="DK37" s="91"/>
      <c r="DL37" s="91"/>
      <c r="DM37" s="91"/>
      <c r="DN37" s="91"/>
      <c r="DO37" s="91"/>
      <c r="DP37" s="91"/>
      <c r="DQ37" s="91"/>
      <c r="DR37" s="91"/>
      <c r="DS37" s="91"/>
      <c r="DT37" s="91"/>
      <c r="DU37" s="91"/>
      <c r="DV37" s="91"/>
      <c r="DW37" s="91"/>
      <c r="DX37" s="91"/>
      <c r="DY37" s="91"/>
      <c r="DZ37" s="91"/>
      <c r="EA37" s="91"/>
      <c r="EB37" s="91"/>
      <c r="EC37" s="91"/>
      <c r="ED37" s="91"/>
      <c r="EE37" s="91"/>
      <c r="EF37" s="91"/>
      <c r="EG37" s="91"/>
      <c r="EH37" s="91"/>
      <c r="EI37" s="91"/>
      <c r="EJ37" s="91"/>
      <c r="EK37" s="91"/>
      <c r="EL37" s="91"/>
      <c r="EM37" s="91"/>
      <c r="EN37" s="91"/>
      <c r="EO37" s="91"/>
      <c r="EP37" s="91"/>
      <c r="EQ37" s="91"/>
      <c r="ER37" s="91"/>
      <c r="ES37" s="91"/>
      <c r="ET37" s="91"/>
      <c r="EU37" s="91"/>
      <c r="EV37" s="91"/>
      <c r="EW37" s="91"/>
      <c r="EX37" s="91"/>
      <c r="EY37" s="91"/>
      <c r="EZ37" s="91"/>
      <c r="FA37" s="91"/>
      <c r="FB37" s="91"/>
      <c r="FC37" s="91"/>
      <c r="FD37" s="91"/>
      <c r="FE37" s="91"/>
      <c r="FF37" s="91"/>
      <c r="FG37" s="91"/>
      <c r="FH37" s="91"/>
      <c r="FI37" s="91"/>
      <c r="FJ37" s="91"/>
      <c r="FK37" s="91"/>
      <c r="FL37" s="91"/>
      <c r="FM37" s="91"/>
      <c r="FN37" s="91"/>
      <c r="FO37" s="91"/>
      <c r="FP37" s="91"/>
      <c r="FQ37" s="91"/>
      <c r="FR37" s="91"/>
      <c r="FS37" s="91"/>
      <c r="FT37" s="91"/>
      <c r="FU37" s="91"/>
      <c r="FV37" s="91"/>
      <c r="FW37" s="91"/>
      <c r="FX37" s="91"/>
      <c r="FY37" s="91"/>
      <c r="FZ37" s="91"/>
      <c r="GA37" s="91"/>
      <c r="GB37" s="91"/>
      <c r="GC37" s="91"/>
      <c r="GD37" s="91"/>
      <c r="GE37" s="91"/>
      <c r="GF37" s="91"/>
      <c r="GG37" s="91"/>
      <c r="GH37" s="91"/>
      <c r="GI37" s="91"/>
      <c r="GJ37" s="91"/>
      <c r="GK37" s="91"/>
      <c r="GL37" s="91"/>
      <c r="GM37" s="91"/>
      <c r="GN37" s="91"/>
      <c r="GO37" s="91"/>
      <c r="GP37" s="91"/>
      <c r="GQ37" s="91"/>
      <c r="GR37" s="91"/>
      <c r="GS37" s="91"/>
      <c r="GT37" s="91"/>
      <c r="GU37" s="91"/>
      <c r="GV37" s="91"/>
      <c r="GW37" s="91"/>
      <c r="GX37" s="91"/>
      <c r="GY37" s="91"/>
      <c r="GZ37" s="91"/>
      <c r="HA37" s="91"/>
      <c r="HB37" s="91"/>
      <c r="HC37" s="91"/>
      <c r="HD37" s="91"/>
      <c r="HE37" s="91"/>
      <c r="HF37" s="91"/>
      <c r="HG37" s="91"/>
      <c r="HH37" s="91"/>
      <c r="HI37" s="91"/>
      <c r="HJ37" s="91"/>
      <c r="HK37" s="91"/>
      <c r="HL37" s="91"/>
      <c r="HM37" s="91"/>
      <c r="HN37" s="91"/>
      <c r="HO37" s="91"/>
      <c r="HP37" s="91"/>
      <c r="HQ37" s="91"/>
      <c r="HR37" s="91"/>
      <c r="HS37" s="91"/>
      <c r="HT37" s="91"/>
      <c r="HU37" s="91"/>
      <c r="HV37" s="91"/>
      <c r="HW37" s="91"/>
      <c r="HX37" s="91"/>
      <c r="HY37" s="91"/>
      <c r="HZ37" s="91"/>
      <c r="IA37" s="91"/>
      <c r="IB37" s="91"/>
      <c r="IC37" s="91"/>
      <c r="ID37" s="91"/>
      <c r="IE37" s="91"/>
      <c r="IF37" s="91"/>
      <c r="IG37" s="91"/>
      <c r="IH37" s="91"/>
      <c r="II37" s="91"/>
      <c r="IJ37" s="91"/>
      <c r="IK37" s="91"/>
      <c r="IL37" s="91"/>
      <c r="IM37" s="91"/>
      <c r="IN37" s="91"/>
      <c r="IO37" s="91"/>
      <c r="IP37" s="91"/>
      <c r="IQ37" s="91"/>
      <c r="IR37" s="91"/>
      <c r="IS37" s="91"/>
      <c r="IT37" s="91"/>
      <c r="IU37" s="91"/>
    </row>
    <row r="38" s="89" customFormat="1" ht="36" customHeight="1" spans="1:255">
      <c r="A38" s="123" t="s">
        <v>921</v>
      </c>
      <c r="B38" s="123"/>
      <c r="C38" s="123"/>
      <c r="D38" s="123"/>
      <c r="E38" s="123"/>
      <c r="F38" s="123"/>
      <c r="G38" s="123"/>
      <c r="H38" s="123"/>
      <c r="I38" s="123"/>
      <c r="J38" s="123"/>
      <c r="K38" s="123"/>
      <c r="L38" s="123"/>
      <c r="M38" s="123"/>
      <c r="N38" s="123"/>
      <c r="O38" s="124"/>
      <c r="P38" s="124"/>
      <c r="Q38" s="124"/>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91"/>
      <c r="CE38" s="91"/>
      <c r="CF38" s="91"/>
      <c r="CG38" s="91"/>
      <c r="CH38" s="91"/>
      <c r="CI38" s="91"/>
      <c r="CJ38" s="91"/>
      <c r="CK38" s="91"/>
      <c r="CL38" s="91"/>
      <c r="CM38" s="91"/>
      <c r="CN38" s="91"/>
      <c r="CO38" s="91"/>
      <c r="CP38" s="91"/>
      <c r="CQ38" s="91"/>
      <c r="CR38" s="91"/>
      <c r="CS38" s="91"/>
      <c r="CT38" s="91"/>
      <c r="CU38" s="91"/>
      <c r="CV38" s="91"/>
      <c r="CW38" s="91"/>
      <c r="CX38" s="91"/>
      <c r="CY38" s="91"/>
      <c r="CZ38" s="91"/>
      <c r="DA38" s="91"/>
      <c r="DB38" s="91"/>
      <c r="DC38" s="91"/>
      <c r="DD38" s="91"/>
      <c r="DE38" s="91"/>
      <c r="DF38" s="91"/>
      <c r="DG38" s="91"/>
      <c r="DH38" s="91"/>
      <c r="DI38" s="91"/>
      <c r="DJ38" s="91"/>
      <c r="DK38" s="91"/>
      <c r="DL38" s="91"/>
      <c r="DM38" s="91"/>
      <c r="DN38" s="91"/>
      <c r="DO38" s="91"/>
      <c r="DP38" s="91"/>
      <c r="DQ38" s="91"/>
      <c r="DR38" s="91"/>
      <c r="DS38" s="91"/>
      <c r="DT38" s="91"/>
      <c r="DU38" s="91"/>
      <c r="DV38" s="91"/>
      <c r="DW38" s="91"/>
      <c r="DX38" s="91"/>
      <c r="DY38" s="91"/>
      <c r="DZ38" s="91"/>
      <c r="EA38" s="91"/>
      <c r="EB38" s="91"/>
      <c r="EC38" s="91"/>
      <c r="ED38" s="91"/>
      <c r="EE38" s="91"/>
      <c r="EF38" s="91"/>
      <c r="EG38" s="91"/>
      <c r="EH38" s="91"/>
      <c r="EI38" s="91"/>
      <c r="EJ38" s="91"/>
      <c r="EK38" s="91"/>
      <c r="EL38" s="91"/>
      <c r="EM38" s="91"/>
      <c r="EN38" s="91"/>
      <c r="EO38" s="91"/>
      <c r="EP38" s="91"/>
      <c r="EQ38" s="91"/>
      <c r="ER38" s="91"/>
      <c r="ES38" s="91"/>
      <c r="ET38" s="91"/>
      <c r="EU38" s="91"/>
      <c r="EV38" s="91"/>
      <c r="EW38" s="91"/>
      <c r="EX38" s="91"/>
      <c r="EY38" s="91"/>
      <c r="EZ38" s="91"/>
      <c r="FA38" s="91"/>
      <c r="FB38" s="91"/>
      <c r="FC38" s="91"/>
      <c r="FD38" s="91"/>
      <c r="FE38" s="91"/>
      <c r="FF38" s="91"/>
      <c r="FG38" s="91"/>
      <c r="FH38" s="91"/>
      <c r="FI38" s="91"/>
      <c r="FJ38" s="91"/>
      <c r="FK38" s="91"/>
      <c r="FL38" s="91"/>
      <c r="FM38" s="91"/>
      <c r="FN38" s="91"/>
      <c r="FO38" s="91"/>
      <c r="FP38" s="91"/>
      <c r="FQ38" s="91"/>
      <c r="FR38" s="91"/>
      <c r="FS38" s="91"/>
      <c r="FT38" s="91"/>
      <c r="FU38" s="91"/>
      <c r="FV38" s="91"/>
      <c r="FW38" s="91"/>
      <c r="FX38" s="91"/>
      <c r="FY38" s="91"/>
      <c r="FZ38" s="91"/>
      <c r="GA38" s="91"/>
      <c r="GB38" s="91"/>
      <c r="GC38" s="91"/>
      <c r="GD38" s="91"/>
      <c r="GE38" s="91"/>
      <c r="GF38" s="91"/>
      <c r="GG38" s="91"/>
      <c r="GH38" s="91"/>
      <c r="GI38" s="91"/>
      <c r="GJ38" s="91"/>
      <c r="GK38" s="91"/>
      <c r="GL38" s="91"/>
      <c r="GM38" s="91"/>
      <c r="GN38" s="91"/>
      <c r="GO38" s="91"/>
      <c r="GP38" s="91"/>
      <c r="GQ38" s="91"/>
      <c r="GR38" s="91"/>
      <c r="GS38" s="91"/>
      <c r="GT38" s="91"/>
      <c r="GU38" s="91"/>
      <c r="GV38" s="91"/>
      <c r="GW38" s="91"/>
      <c r="GX38" s="91"/>
      <c r="GY38" s="91"/>
      <c r="GZ38" s="91"/>
      <c r="HA38" s="91"/>
      <c r="HB38" s="91"/>
      <c r="HC38" s="91"/>
      <c r="HD38" s="91"/>
      <c r="HE38" s="91"/>
      <c r="HF38" s="91"/>
      <c r="HG38" s="91"/>
      <c r="HH38" s="91"/>
      <c r="HI38" s="91"/>
      <c r="HJ38" s="91"/>
      <c r="HK38" s="91"/>
      <c r="HL38" s="91"/>
      <c r="HM38" s="91"/>
      <c r="HN38" s="91"/>
      <c r="HO38" s="91"/>
      <c r="HP38" s="91"/>
      <c r="HQ38" s="91"/>
      <c r="HR38" s="91"/>
      <c r="HS38" s="91"/>
      <c r="HT38" s="91"/>
      <c r="HU38" s="91"/>
      <c r="HV38" s="91"/>
      <c r="HW38" s="91"/>
      <c r="HX38" s="91"/>
      <c r="HY38" s="91"/>
      <c r="HZ38" s="91"/>
      <c r="IA38" s="91"/>
      <c r="IB38" s="91"/>
      <c r="IC38" s="91"/>
      <c r="ID38" s="91"/>
      <c r="IE38" s="91"/>
      <c r="IF38" s="91"/>
      <c r="IG38" s="91"/>
      <c r="IH38" s="91"/>
      <c r="II38" s="91"/>
      <c r="IJ38" s="91"/>
      <c r="IK38" s="91"/>
      <c r="IL38" s="91"/>
      <c r="IM38" s="91"/>
      <c r="IN38" s="91"/>
      <c r="IO38" s="91"/>
      <c r="IP38" s="91"/>
      <c r="IQ38" s="91"/>
      <c r="IR38" s="91"/>
      <c r="IS38" s="91"/>
      <c r="IT38" s="91"/>
      <c r="IU38" s="91"/>
    </row>
    <row r="43" spans="1:255">
      <c r="F43" s="126"/>
    </row>
  </sheetData>
  <mergeCells count="37">
    <mergeCell ref="A2:N2"/>
    <mergeCell ref="A3:C3"/>
    <mergeCell ref="D3:E3"/>
    <mergeCell ref="G4:N4"/>
    <mergeCell ref="M5:N5"/>
    <mergeCell ref="A14:D14"/>
    <mergeCell ref="A17:N17"/>
    <mergeCell ref="A18:N18"/>
    <mergeCell ref="A19:N19"/>
    <mergeCell ref="A20:N20"/>
    <mergeCell ref="A21:N21"/>
    <mergeCell ref="A22:N22"/>
    <mergeCell ref="A23:N23"/>
    <mergeCell ref="A24:N24"/>
    <mergeCell ref="A25:N25"/>
    <mergeCell ref="A26:N26"/>
    <mergeCell ref="A27:N27"/>
    <mergeCell ref="A28:N28"/>
    <mergeCell ref="A29:N29"/>
    <mergeCell ref="A30:N30"/>
    <mergeCell ref="A31:N31"/>
    <mergeCell ref="A32:N32"/>
    <mergeCell ref="A33:N33"/>
    <mergeCell ref="A34:N34"/>
    <mergeCell ref="A35:N35"/>
    <mergeCell ref="A36:N36"/>
    <mergeCell ref="A37:N37"/>
    <mergeCell ref="A38:N38"/>
    <mergeCell ref="E4:E6"/>
    <mergeCell ref="F4:F6"/>
    <mergeCell ref="G5:G6"/>
    <mergeCell ref="H5:H6"/>
    <mergeCell ref="I5:I6"/>
    <mergeCell ref="J5:J6"/>
    <mergeCell ref="K5:K6"/>
    <mergeCell ref="L5:L6"/>
    <mergeCell ref="A4:D5"/>
  </mergeCells>
  <dataValidations count="2">
    <dataValidation type="list" allowBlank="1" showInputMessage="1" showErrorMessage="1" sqref="I3">
      <formula1>"未完成,已完成"</formula1>
    </dataValidation>
    <dataValidation type="list" allowBlank="1" showInputMessage="1" showErrorMessage="1" sqref="K3">
      <formula1>"费用化,资本化"</formula1>
    </dataValidation>
  </dataValidations>
  <pageMargins left="0.984027777777778" right="0.551181102362205" top="0.78740157480315" bottom="0.78740157480315" header="0.511811023622047" footer="0.511811023622047"/>
  <pageSetup paperSize="9" scale="90" fitToWidth="0" orientation="landscape" horizontalDpi="600" verticalDpi="600"/>
  <headerFooter alignWithMargins="0" scaleWithDoc="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zoomScaleSheetLayoutView="60" workbookViewId="0">
      <selection activeCell="A20" sqref="A20:Q20"/>
    </sheetView>
  </sheetViews>
  <sheetFormatPr defaultColWidth="9.55769230769231" defaultRowHeight="17.6"/>
  <cols>
    <col min="1" max="10" width="9.55769230769231" style="33"/>
    <col min="11" max="11" width="13.9326923076923" style="33"/>
    <col min="12" max="12" width="11.7211538461538" style="33"/>
    <col min="13" max="16384" width="9.55769230769231" style="33"/>
  </cols>
  <sheetData>
    <row r="1" ht="11" customHeight="1" spans="1:17">
      <c r="A1" s="34"/>
      <c r="B1" s="35"/>
      <c r="C1" s="36"/>
      <c r="D1" s="36"/>
      <c r="E1" s="36"/>
      <c r="F1" s="36"/>
      <c r="G1" s="36"/>
      <c r="H1" s="36"/>
      <c r="I1" s="36"/>
      <c r="J1" s="36"/>
      <c r="K1" s="36"/>
      <c r="L1" s="36"/>
      <c r="M1" s="36"/>
      <c r="N1" s="36"/>
      <c r="O1" s="36"/>
      <c r="P1" s="36"/>
      <c r="Q1" s="36"/>
    </row>
    <row r="2" ht="37" customHeight="1" spans="1:17">
      <c r="A2" s="37" t="s">
        <v>922</v>
      </c>
      <c r="B2" s="37"/>
      <c r="C2" s="37"/>
      <c r="D2" s="37"/>
      <c r="E2" s="37"/>
      <c r="F2" s="37"/>
      <c r="G2" s="37"/>
      <c r="H2" s="37"/>
      <c r="I2" s="37"/>
      <c r="J2" s="37"/>
      <c r="K2" s="37"/>
      <c r="L2" s="37"/>
      <c r="M2" s="37"/>
      <c r="N2" s="37"/>
      <c r="O2" s="37"/>
      <c r="P2" s="37"/>
      <c r="Q2" s="37"/>
    </row>
    <row r="3" spans="1:17">
      <c r="A3" s="38" t="s">
        <v>923</v>
      </c>
      <c r="B3" s="38"/>
      <c r="C3" s="38"/>
      <c r="D3" s="38"/>
      <c r="E3" s="38"/>
      <c r="F3" s="38"/>
      <c r="G3" s="38"/>
      <c r="H3" s="38"/>
      <c r="I3" s="38"/>
      <c r="J3" s="38" t="s">
        <v>924</v>
      </c>
      <c r="K3" s="39"/>
      <c r="L3" s="38"/>
      <c r="M3" s="38"/>
      <c r="N3" s="40" t="s">
        <v>925</v>
      </c>
      <c r="O3" s="38"/>
      <c r="P3" s="41" t="s">
        <v>880</v>
      </c>
      <c r="Q3" s="41"/>
    </row>
    <row r="4" spans="1:17">
      <c r="A4" s="42"/>
      <c r="B4" s="42"/>
      <c r="C4" s="42"/>
      <c r="D4" s="42"/>
      <c r="E4" s="42"/>
      <c r="F4" s="42"/>
      <c r="G4" s="42"/>
      <c r="H4" s="42"/>
      <c r="I4" s="43"/>
      <c r="J4" s="43"/>
      <c r="K4" s="43"/>
      <c r="L4" s="42"/>
      <c r="M4" s="42"/>
      <c r="N4" s="42"/>
      <c r="O4" s="42"/>
      <c r="P4" s="42"/>
      <c r="Q4" s="42"/>
    </row>
    <row r="5" spans="1:17">
      <c r="A5" s="44" t="s">
        <v>391</v>
      </c>
      <c r="B5" s="45" t="s">
        <v>451</v>
      </c>
      <c r="C5" s="46" t="s">
        <v>460</v>
      </c>
      <c r="D5" s="46" t="s">
        <v>926</v>
      </c>
      <c r="E5" s="47" t="s">
        <v>927</v>
      </c>
      <c r="F5" s="48" t="s">
        <v>885</v>
      </c>
      <c r="G5" s="48" t="s">
        <v>886</v>
      </c>
      <c r="H5" s="48" t="s">
        <v>887</v>
      </c>
      <c r="I5" s="48" t="s">
        <v>888</v>
      </c>
      <c r="J5" s="48" t="s">
        <v>928</v>
      </c>
      <c r="K5" s="48" t="s">
        <v>929</v>
      </c>
      <c r="L5" s="45" t="s">
        <v>930</v>
      </c>
      <c r="M5" s="45"/>
      <c r="N5" s="45" t="s">
        <v>931</v>
      </c>
      <c r="O5" s="45"/>
      <c r="P5" s="45"/>
      <c r="Q5" s="49"/>
    </row>
    <row r="6" ht="118" spans="1:17">
      <c r="A6" s="50"/>
      <c r="B6" s="51"/>
      <c r="C6" s="52"/>
      <c r="D6" s="52"/>
      <c r="E6" s="53"/>
      <c r="F6" s="54"/>
      <c r="G6" s="54"/>
      <c r="H6" s="54"/>
      <c r="I6" s="54"/>
      <c r="J6" s="54"/>
      <c r="K6" s="54"/>
      <c r="L6" s="51" t="s">
        <v>932</v>
      </c>
      <c r="M6" s="53" t="s">
        <v>933</v>
      </c>
      <c r="N6" s="51" t="s">
        <v>895</v>
      </c>
      <c r="O6" s="51" t="s">
        <v>934</v>
      </c>
      <c r="P6" s="51" t="s">
        <v>896</v>
      </c>
      <c r="Q6" s="55" t="s">
        <v>935</v>
      </c>
    </row>
    <row r="7" spans="1:17">
      <c r="A7" s="50"/>
      <c r="B7" s="51"/>
      <c r="C7" s="52"/>
      <c r="D7" s="52"/>
      <c r="E7" s="53"/>
      <c r="F7" s="53" t="s">
        <v>936</v>
      </c>
      <c r="G7" s="53" t="s">
        <v>937</v>
      </c>
      <c r="H7" s="53" t="s">
        <v>938</v>
      </c>
      <c r="I7" s="53" t="s">
        <v>939</v>
      </c>
      <c r="J7" s="53" t="s">
        <v>940</v>
      </c>
      <c r="K7" s="53" t="s">
        <v>941</v>
      </c>
      <c r="L7" s="53" t="s">
        <v>942</v>
      </c>
      <c r="M7" s="53" t="s">
        <v>943</v>
      </c>
      <c r="N7" s="56">
        <v>8.1</v>
      </c>
      <c r="O7" s="56">
        <v>8.2</v>
      </c>
      <c r="P7" s="56">
        <v>8.3</v>
      </c>
      <c r="Q7" s="57">
        <v>8.4</v>
      </c>
    </row>
    <row r="8" ht="22" customHeight="1" spans="1:17">
      <c r="A8" s="58"/>
      <c r="B8" s="59"/>
      <c r="C8" s="59"/>
      <c r="D8" s="59" t="s">
        <v>494</v>
      </c>
      <c r="E8" s="60"/>
      <c r="F8" s="60"/>
      <c r="G8" s="61"/>
      <c r="H8" s="61"/>
      <c r="I8" s="61"/>
      <c r="J8" s="61"/>
      <c r="K8" s="61"/>
      <c r="L8" s="61"/>
      <c r="M8" s="61"/>
      <c r="N8" s="62">
        <v>1000000</v>
      </c>
      <c r="O8" s="62">
        <f>N8*0.8</f>
        <v>800000</v>
      </c>
      <c r="P8" s="59"/>
      <c r="Q8" s="63"/>
    </row>
    <row r="9" ht="22" customHeight="1" spans="1:17">
      <c r="A9" s="58"/>
      <c r="B9" s="59"/>
      <c r="C9" s="59"/>
      <c r="D9" s="59" t="s">
        <v>505</v>
      </c>
      <c r="E9" s="60"/>
      <c r="F9" s="61"/>
      <c r="G9" s="64"/>
      <c r="H9" s="64"/>
      <c r="I9" s="64"/>
      <c r="J9" s="64"/>
      <c r="K9" s="65">
        <v>100000</v>
      </c>
      <c r="L9" s="65">
        <v>1000</v>
      </c>
      <c r="M9" s="64">
        <v>1000</v>
      </c>
      <c r="N9" s="64"/>
      <c r="O9" s="64"/>
      <c r="P9" s="64"/>
      <c r="Q9" s="66"/>
    </row>
    <row r="10" ht="24" customHeight="1" spans="1:17">
      <c r="A10" s="58"/>
      <c r="B10" s="59"/>
      <c r="C10" s="59"/>
      <c r="D10" s="59"/>
      <c r="E10" s="60"/>
      <c r="F10" s="61"/>
      <c r="G10" s="64"/>
      <c r="H10" s="64"/>
      <c r="I10" s="64"/>
      <c r="J10" s="64"/>
      <c r="K10" s="64"/>
      <c r="L10" s="64"/>
      <c r="M10" s="64"/>
      <c r="N10" s="64"/>
      <c r="O10" s="64"/>
      <c r="P10" s="64"/>
      <c r="Q10" s="66"/>
    </row>
    <row r="11" ht="20" customHeight="1" spans="1:17">
      <c r="A11" s="67"/>
      <c r="B11" s="68"/>
      <c r="C11" s="68"/>
      <c r="D11" s="68"/>
      <c r="E11" s="60"/>
      <c r="F11" s="61"/>
      <c r="G11" s="64"/>
      <c r="H11" s="64"/>
      <c r="I11" s="64"/>
      <c r="J11" s="64"/>
      <c r="K11" s="64"/>
      <c r="L11" s="64"/>
      <c r="M11" s="64"/>
      <c r="N11" s="64"/>
      <c r="O11" s="64"/>
      <c r="P11" s="64"/>
      <c r="Q11" s="66"/>
    </row>
    <row r="12" ht="23" customHeight="1" spans="1:17">
      <c r="A12" s="69" t="s">
        <v>944</v>
      </c>
      <c r="B12" s="70"/>
      <c r="C12" s="70"/>
      <c r="D12" s="70"/>
      <c r="E12" s="60"/>
      <c r="F12" s="61"/>
      <c r="G12" s="64"/>
      <c r="H12" s="64"/>
      <c r="I12" s="64"/>
      <c r="J12" s="64"/>
      <c r="K12" s="64"/>
      <c r="L12" s="64"/>
      <c r="M12" s="64"/>
      <c r="N12" s="64"/>
      <c r="O12" s="64"/>
      <c r="P12" s="64"/>
      <c r="Q12" s="66"/>
    </row>
    <row r="13" ht="17" customHeight="1" spans="1:17">
      <c r="A13" s="69" t="s">
        <v>945</v>
      </c>
      <c r="B13" s="70"/>
      <c r="C13" s="70"/>
      <c r="D13" s="70"/>
      <c r="E13" s="60"/>
      <c r="F13" s="62"/>
      <c r="G13" s="68"/>
      <c r="H13" s="68"/>
      <c r="I13" s="68"/>
      <c r="J13" s="68"/>
      <c r="K13" s="68"/>
      <c r="L13" s="68"/>
      <c r="M13" s="68"/>
      <c r="N13" s="68"/>
      <c r="O13" s="68"/>
      <c r="P13" s="68"/>
      <c r="Q13" s="57"/>
    </row>
    <row r="14" ht="19" customHeight="1" spans="1:17">
      <c r="A14" s="71" t="s">
        <v>946</v>
      </c>
      <c r="B14" s="72"/>
      <c r="C14" s="72"/>
      <c r="D14" s="72"/>
      <c r="E14" s="60"/>
      <c r="F14" s="73"/>
      <c r="G14" s="61"/>
      <c r="H14" s="61"/>
      <c r="I14" s="61"/>
      <c r="J14" s="61"/>
      <c r="K14" s="61"/>
      <c r="L14" s="61"/>
      <c r="M14" s="60"/>
      <c r="N14" s="62"/>
      <c r="O14" s="62"/>
      <c r="P14" s="59"/>
      <c r="Q14" s="63"/>
    </row>
    <row r="15" ht="21" customHeight="1" spans="1:17">
      <c r="A15" s="74" t="s">
        <v>947</v>
      </c>
      <c r="B15" s="75"/>
      <c r="C15" s="75"/>
      <c r="D15" s="76"/>
      <c r="E15" s="77"/>
      <c r="F15" s="77"/>
      <c r="G15" s="77"/>
      <c r="H15" s="77"/>
      <c r="I15" s="77"/>
      <c r="J15" s="77"/>
      <c r="K15" s="77"/>
      <c r="L15" s="77"/>
      <c r="M15" s="77"/>
      <c r="N15" s="77"/>
      <c r="O15" s="77"/>
      <c r="P15" s="78"/>
      <c r="Q15" s="79"/>
    </row>
    <row r="16" spans="1:17">
      <c r="A16" s="80" t="s">
        <v>948</v>
      </c>
      <c r="B16" s="43"/>
      <c r="C16" s="81"/>
      <c r="D16" s="81"/>
      <c r="E16" s="81"/>
      <c r="F16" s="81"/>
      <c r="G16" s="81"/>
      <c r="H16" s="80"/>
      <c r="I16" s="81"/>
      <c r="J16" s="81"/>
      <c r="K16" s="81"/>
      <c r="L16" s="81"/>
      <c r="M16" s="82"/>
      <c r="N16" s="82"/>
      <c r="O16" s="43"/>
      <c r="P16" s="83"/>
      <c r="Q16" s="83"/>
    </row>
    <row r="18" s="32" customFormat="1" ht="18" customHeight="1" spans="1:17">
      <c r="A18" s="84" t="s">
        <v>900</v>
      </c>
      <c r="B18" s="84"/>
      <c r="C18" s="84"/>
      <c r="D18" s="84"/>
      <c r="E18" s="84"/>
      <c r="F18" s="84"/>
      <c r="G18" s="84"/>
      <c r="H18" s="84"/>
      <c r="I18" s="84"/>
      <c r="J18" s="84"/>
      <c r="K18" s="84"/>
      <c r="L18" s="84"/>
      <c r="M18" s="84"/>
      <c r="N18" s="84"/>
      <c r="O18" s="84"/>
      <c r="P18" s="84"/>
      <c r="Q18" s="84"/>
    </row>
    <row r="19" s="32" customFormat="1" ht="18" customHeight="1" spans="1:17">
      <c r="A19" s="85" t="s">
        <v>901</v>
      </c>
      <c r="B19" s="85"/>
      <c r="C19" s="85"/>
      <c r="D19" s="85"/>
      <c r="E19" s="85"/>
      <c r="F19" s="85"/>
      <c r="G19" s="85"/>
      <c r="H19" s="85"/>
      <c r="I19" s="85"/>
      <c r="J19" s="85"/>
      <c r="K19" s="85"/>
      <c r="L19" s="85"/>
      <c r="M19" s="85"/>
      <c r="N19" s="85"/>
      <c r="O19" s="85"/>
      <c r="P19" s="85"/>
      <c r="Q19" s="85"/>
    </row>
    <row r="20" s="32" customFormat="1" ht="30" customHeight="1" spans="1:17">
      <c r="A20" s="86" t="s">
        <v>949</v>
      </c>
      <c r="B20" s="86"/>
      <c r="C20" s="86"/>
      <c r="D20" s="86"/>
      <c r="E20" s="86"/>
      <c r="F20" s="86"/>
      <c r="G20" s="86"/>
      <c r="H20" s="86"/>
      <c r="I20" s="86"/>
      <c r="J20" s="86"/>
      <c r="K20" s="86"/>
      <c r="L20" s="86"/>
      <c r="M20" s="86"/>
      <c r="N20" s="86"/>
      <c r="O20" s="86"/>
      <c r="P20" s="86"/>
      <c r="Q20" s="86"/>
    </row>
    <row r="21" s="32" customFormat="1" ht="30" customHeight="1" spans="1:17">
      <c r="A21" s="86" t="s">
        <v>950</v>
      </c>
      <c r="B21" s="86"/>
      <c r="C21" s="86"/>
      <c r="D21" s="86"/>
      <c r="E21" s="86"/>
      <c r="F21" s="86"/>
      <c r="G21" s="86"/>
      <c r="H21" s="86"/>
      <c r="I21" s="86"/>
      <c r="J21" s="86"/>
      <c r="K21" s="86"/>
      <c r="L21" s="86"/>
      <c r="M21" s="86"/>
      <c r="N21" s="86"/>
      <c r="O21" s="86"/>
      <c r="P21" s="86"/>
      <c r="Q21" s="86"/>
    </row>
    <row r="22" s="32" customFormat="1" ht="18" customHeight="1" spans="1:17">
      <c r="A22" s="85" t="s">
        <v>918</v>
      </c>
      <c r="B22" s="85"/>
      <c r="C22" s="85"/>
      <c r="D22" s="85"/>
      <c r="E22" s="85"/>
      <c r="F22" s="85"/>
      <c r="G22" s="85"/>
      <c r="H22" s="85"/>
      <c r="I22" s="85"/>
      <c r="J22" s="85"/>
      <c r="K22" s="85"/>
      <c r="L22" s="85"/>
      <c r="M22" s="85"/>
      <c r="N22" s="85"/>
      <c r="O22" s="85"/>
      <c r="P22" s="85"/>
      <c r="Q22" s="85"/>
    </row>
    <row r="23" s="32" customFormat="1" ht="18" customHeight="1" spans="1:17">
      <c r="A23" s="86" t="s">
        <v>951</v>
      </c>
      <c r="B23" s="87"/>
      <c r="C23" s="87"/>
      <c r="D23" s="87"/>
      <c r="E23" s="87"/>
      <c r="F23" s="87"/>
      <c r="G23" s="87"/>
      <c r="H23" s="87"/>
      <c r="I23" s="87"/>
      <c r="J23" s="87"/>
      <c r="K23" s="87"/>
      <c r="L23" s="87"/>
      <c r="M23" s="87"/>
      <c r="N23" s="87"/>
      <c r="O23" s="87"/>
      <c r="P23" s="87"/>
      <c r="Q23" s="87"/>
    </row>
    <row r="24" s="32" customFormat="1" ht="18" customHeight="1" spans="1:17">
      <c r="A24" s="86" t="s">
        <v>952</v>
      </c>
      <c r="B24" s="87"/>
      <c r="C24" s="87"/>
      <c r="D24" s="87"/>
      <c r="E24" s="87"/>
      <c r="F24" s="87"/>
      <c r="G24" s="87"/>
      <c r="H24" s="87"/>
      <c r="I24" s="87"/>
      <c r="J24" s="87"/>
      <c r="K24" s="87"/>
      <c r="L24" s="87"/>
      <c r="M24" s="87"/>
      <c r="N24" s="87"/>
      <c r="O24" s="87"/>
      <c r="P24" s="87"/>
      <c r="Q24" s="87"/>
    </row>
    <row r="25" s="32" customFormat="1" ht="18" customHeight="1" spans="1:17">
      <c r="A25" s="86" t="s">
        <v>953</v>
      </c>
      <c r="B25" s="87"/>
      <c r="C25" s="87"/>
      <c r="D25" s="87"/>
      <c r="E25" s="87"/>
      <c r="F25" s="87"/>
      <c r="G25" s="87"/>
      <c r="H25" s="87"/>
      <c r="I25" s="87"/>
      <c r="J25" s="87"/>
      <c r="K25" s="87"/>
      <c r="L25" s="87"/>
      <c r="M25" s="87"/>
      <c r="N25" s="87"/>
      <c r="O25" s="87"/>
      <c r="P25" s="87"/>
      <c r="Q25" s="87"/>
    </row>
    <row r="26" s="32" customFormat="1" ht="18" customHeight="1" spans="1:17">
      <c r="A26" s="86" t="s">
        <v>954</v>
      </c>
      <c r="B26" s="87"/>
      <c r="C26" s="87"/>
      <c r="D26" s="87"/>
      <c r="E26" s="87"/>
      <c r="F26" s="87"/>
      <c r="G26" s="87"/>
      <c r="H26" s="87"/>
      <c r="I26" s="87"/>
      <c r="J26" s="87"/>
      <c r="K26" s="87"/>
      <c r="L26" s="87"/>
      <c r="M26" s="87"/>
      <c r="N26" s="87"/>
      <c r="O26" s="87"/>
      <c r="P26" s="87"/>
      <c r="Q26" s="87"/>
    </row>
    <row r="27" s="32" customFormat="1" ht="18" customHeight="1" spans="1:17">
      <c r="A27" s="86" t="s">
        <v>955</v>
      </c>
      <c r="B27" s="87"/>
      <c r="C27" s="87"/>
      <c r="D27" s="87"/>
      <c r="E27" s="87"/>
      <c r="F27" s="87"/>
      <c r="G27" s="87"/>
      <c r="H27" s="87"/>
      <c r="I27" s="87"/>
      <c r="J27" s="87"/>
      <c r="K27" s="87"/>
      <c r="L27" s="87"/>
      <c r="M27" s="87"/>
      <c r="N27" s="87"/>
      <c r="O27" s="87"/>
      <c r="P27" s="87"/>
      <c r="Q27" s="87"/>
    </row>
    <row r="28" s="32" customFormat="1" ht="18" customHeight="1" spans="1:17">
      <c r="A28" s="86" t="s">
        <v>956</v>
      </c>
      <c r="B28" s="87"/>
      <c r="C28" s="87"/>
      <c r="D28" s="87"/>
      <c r="E28" s="87"/>
      <c r="F28" s="87"/>
      <c r="G28" s="87"/>
      <c r="H28" s="87"/>
      <c r="I28" s="87"/>
      <c r="J28" s="87"/>
      <c r="K28" s="87"/>
      <c r="L28" s="87"/>
      <c r="M28" s="87"/>
      <c r="N28" s="87"/>
      <c r="O28" s="87"/>
      <c r="P28" s="87"/>
      <c r="Q28" s="87"/>
    </row>
    <row r="29" s="32" customFormat="1" ht="18" customHeight="1" spans="1:17">
      <c r="A29" s="86" t="s">
        <v>957</v>
      </c>
      <c r="B29" s="87"/>
      <c r="C29" s="87"/>
      <c r="D29" s="87"/>
      <c r="E29" s="87"/>
      <c r="F29" s="87"/>
      <c r="G29" s="87"/>
      <c r="H29" s="87"/>
      <c r="I29" s="87"/>
      <c r="J29" s="87"/>
      <c r="K29" s="87"/>
      <c r="L29" s="87"/>
      <c r="M29" s="87"/>
      <c r="N29" s="87"/>
      <c r="O29" s="87"/>
      <c r="P29" s="87"/>
      <c r="Q29" s="87"/>
    </row>
    <row r="30" s="32" customFormat="1" ht="30" customHeight="1" spans="1:17">
      <c r="A30" s="86" t="s">
        <v>958</v>
      </c>
      <c r="B30" s="87"/>
      <c r="C30" s="87"/>
      <c r="D30" s="87"/>
      <c r="E30" s="87"/>
      <c r="F30" s="87"/>
      <c r="G30" s="87"/>
      <c r="H30" s="87"/>
      <c r="I30" s="87"/>
      <c r="J30" s="87"/>
      <c r="K30" s="87"/>
      <c r="L30" s="87"/>
      <c r="M30" s="87"/>
      <c r="N30" s="87"/>
      <c r="O30" s="87"/>
      <c r="P30" s="87"/>
      <c r="Q30" s="87"/>
    </row>
    <row r="31" s="32" customFormat="1" ht="18" customHeight="1" spans="1:17">
      <c r="A31" s="86" t="s">
        <v>959</v>
      </c>
      <c r="B31" s="87"/>
      <c r="C31" s="87"/>
      <c r="D31" s="87"/>
      <c r="E31" s="87"/>
      <c r="F31" s="87"/>
      <c r="G31" s="87"/>
      <c r="H31" s="87"/>
      <c r="I31" s="87"/>
      <c r="J31" s="87"/>
      <c r="K31" s="87"/>
      <c r="L31" s="87"/>
      <c r="M31" s="87"/>
      <c r="N31" s="87"/>
      <c r="O31" s="87"/>
      <c r="P31" s="87"/>
      <c r="Q31" s="87"/>
    </row>
    <row r="32" s="32" customFormat="1" ht="18" customHeight="1" spans="1:17">
      <c r="A32" s="86" t="s">
        <v>960</v>
      </c>
      <c r="B32" s="87"/>
      <c r="C32" s="87"/>
      <c r="D32" s="87"/>
      <c r="E32" s="87"/>
      <c r="F32" s="87"/>
      <c r="G32" s="87"/>
      <c r="H32" s="87"/>
      <c r="I32" s="87"/>
      <c r="J32" s="87"/>
      <c r="K32" s="87"/>
      <c r="L32" s="87"/>
      <c r="M32" s="87"/>
      <c r="N32" s="87"/>
      <c r="O32" s="87"/>
      <c r="P32" s="87"/>
      <c r="Q32" s="87"/>
    </row>
    <row r="33" s="32" customFormat="1" ht="18" customHeight="1" spans="1:17">
      <c r="A33" s="86" t="s">
        <v>961</v>
      </c>
      <c r="B33" s="87"/>
      <c r="C33" s="87"/>
      <c r="D33" s="87"/>
      <c r="E33" s="87"/>
      <c r="F33" s="87"/>
      <c r="G33" s="87"/>
      <c r="H33" s="87"/>
      <c r="I33" s="87"/>
      <c r="J33" s="87"/>
      <c r="K33" s="87"/>
      <c r="L33" s="87"/>
      <c r="M33" s="87"/>
      <c r="N33" s="87"/>
      <c r="O33" s="87"/>
      <c r="P33" s="87"/>
      <c r="Q33" s="87"/>
    </row>
    <row r="34" s="32" customFormat="1" ht="30" customHeight="1" spans="1:17">
      <c r="A34" s="86" t="s">
        <v>962</v>
      </c>
      <c r="B34" s="87"/>
      <c r="C34" s="87"/>
      <c r="D34" s="87"/>
      <c r="E34" s="87"/>
      <c r="F34" s="87"/>
      <c r="G34" s="87"/>
      <c r="H34" s="87"/>
      <c r="I34" s="87"/>
      <c r="J34" s="87"/>
      <c r="K34" s="87"/>
      <c r="L34" s="87"/>
      <c r="M34" s="87"/>
      <c r="N34" s="87"/>
      <c r="O34" s="87"/>
      <c r="P34" s="87"/>
      <c r="Q34" s="87"/>
    </row>
    <row r="35" s="32" customFormat="1" ht="30" customHeight="1" spans="1:17">
      <c r="A35" s="86" t="s">
        <v>963</v>
      </c>
      <c r="B35" s="87"/>
      <c r="C35" s="87"/>
      <c r="D35" s="87"/>
      <c r="E35" s="87"/>
      <c r="F35" s="87"/>
      <c r="G35" s="87"/>
      <c r="H35" s="87"/>
      <c r="I35" s="87"/>
      <c r="J35" s="87"/>
      <c r="K35" s="87"/>
      <c r="L35" s="87"/>
      <c r="M35" s="87"/>
      <c r="N35" s="87"/>
      <c r="O35" s="87"/>
      <c r="P35" s="87"/>
      <c r="Q35" s="87"/>
    </row>
  </sheetData>
  <mergeCells count="38">
    <mergeCell ref="A1:B1"/>
    <mergeCell ref="A2:Q2"/>
    <mergeCell ref="L5:M5"/>
    <mergeCell ref="N5:Q5"/>
    <mergeCell ref="A12:D12"/>
    <mergeCell ref="A13:D13"/>
    <mergeCell ref="A14:D14"/>
    <mergeCell ref="A15:D15"/>
    <mergeCell ref="M16:N16"/>
    <mergeCell ref="A18:Q18"/>
    <mergeCell ref="A19:Q19"/>
    <mergeCell ref="A20:Q20"/>
    <mergeCell ref="A21:Q21"/>
    <mergeCell ref="A22:Q22"/>
    <mergeCell ref="A23:Q23"/>
    <mergeCell ref="A24:Q24"/>
    <mergeCell ref="A25:Q25"/>
    <mergeCell ref="A26:Q26"/>
    <mergeCell ref="A27:Q27"/>
    <mergeCell ref="A28:Q28"/>
    <mergeCell ref="A29:Q29"/>
    <mergeCell ref="A30:Q30"/>
    <mergeCell ref="A31:Q31"/>
    <mergeCell ref="A32:Q32"/>
    <mergeCell ref="A33:Q33"/>
    <mergeCell ref="A34:Q34"/>
    <mergeCell ref="A35:Q35"/>
    <mergeCell ref="A5:A7"/>
    <mergeCell ref="B5:B7"/>
    <mergeCell ref="C5:C7"/>
    <mergeCell ref="D5:D7"/>
    <mergeCell ref="E5:E7"/>
    <mergeCell ref="F5:F6"/>
    <mergeCell ref="G5:G6"/>
    <mergeCell ref="H5:H6"/>
    <mergeCell ref="I5:I6"/>
    <mergeCell ref="J5:J6"/>
    <mergeCell ref="K5:K6"/>
  </mergeCells>
  <dataValidations count="3">
    <dataValidation type="list" allowBlank="1" showInputMessage="1" showErrorMessage="1" prompt="费用化支出&#10;资本化支出" sqref="C16">
      <formula1>"费用化支出,资本化支出"</formula1>
    </dataValidation>
    <dataValidation type="list" allowBlank="1" showInputMessage="1" showErrorMessage="1" prompt="未完成&#10;已完成" sqref="C12:C14">
      <formula1>"未完成,已完成"</formula1>
    </dataValidation>
    <dataValidation type="list" allowBlank="1" showInputMessage="1" showErrorMessage="1" prompt="费用化&#10;资本化" sqref="D12:D14">
      <formula1>"费用化,资本化"</formula1>
    </dataValidation>
  </dataValidations>
  <pageMargins left="0.865972222222222" right="0.751388888888889" top="1" bottom="1" header="0.5" footer="0.5"/>
  <pageSetup paperSize="9" scale="75" orientation="landscape" horizontalDpi="600"/>
  <headerFooter alignWithMargins="0" scaleWithDoc="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0"/>
  <sheetViews>
    <sheetView topLeftCell="A69" workbookViewId="0">
      <selection activeCell="C10" sqref="C10"/>
    </sheetView>
  </sheetViews>
  <sheetFormatPr defaultColWidth="10.1442307692308" defaultRowHeight="14.25" customHeight="1" outlineLevelCol="4"/>
  <cols>
    <col min="1" max="1" width="5.84615384615385" style="10" customWidth="1"/>
    <col min="2" max="2" width="87.5769230769231" style="10" customWidth="1"/>
    <col min="3" max="3" width="23" style="10" customWidth="1"/>
    <col min="4" max="4" width="4.125" style="10" customWidth="1"/>
    <col min="5" max="5" width="59.3365384615385" style="11" customWidth="1"/>
    <col min="6" max="16384" width="10.1442307692308" style="12"/>
  </cols>
  <sheetData>
    <row r="1" ht="34" customHeight="1" spans="1:5">
      <c r="A1" s="13" t="s">
        <v>964</v>
      </c>
      <c r="B1" s="13"/>
      <c r="C1" s="13"/>
      <c r="D1" s="12"/>
    </row>
    <row r="2" ht="24.75" customHeight="1" spans="1:5">
      <c r="A2" s="14" t="s">
        <v>965</v>
      </c>
      <c r="B2" s="15" t="s">
        <v>966</v>
      </c>
      <c r="C2" s="16" t="s">
        <v>967</v>
      </c>
      <c r="D2" s="10" t="s">
        <v>968</v>
      </c>
      <c r="E2" s="17" t="s">
        <v>969</v>
      </c>
    </row>
    <row r="3" ht="24" customHeight="1" spans="1:5">
      <c r="A3" s="18">
        <v>1</v>
      </c>
      <c r="B3" s="19" t="s">
        <v>970</v>
      </c>
      <c r="C3" s="20"/>
      <c r="D3" s="12"/>
      <c r="E3" s="11" t="s">
        <v>971</v>
      </c>
    </row>
    <row r="4" ht="22.5" customHeight="1" spans="1:5">
      <c r="A4" s="18">
        <v>2</v>
      </c>
      <c r="B4" s="19" t="s">
        <v>972</v>
      </c>
      <c r="C4" s="21"/>
      <c r="D4" s="12"/>
      <c r="E4" s="11" t="s">
        <v>973</v>
      </c>
    </row>
    <row r="5" ht="24" customHeight="1" spans="1:5">
      <c r="A5" s="18">
        <v>3</v>
      </c>
      <c r="B5" s="22" t="s">
        <v>974</v>
      </c>
      <c r="C5" s="21"/>
      <c r="D5" s="12"/>
      <c r="E5" s="11" t="s">
        <v>975</v>
      </c>
    </row>
    <row r="6" ht="18" customHeight="1" spans="1:5">
      <c r="A6" s="18">
        <v>4</v>
      </c>
      <c r="B6" s="23" t="s">
        <v>976</v>
      </c>
      <c r="C6" s="21"/>
      <c r="D6" s="12"/>
    </row>
    <row r="7" ht="18" customHeight="1" spans="1:5">
      <c r="A7" s="18">
        <v>5</v>
      </c>
      <c r="B7" s="23" t="s">
        <v>977</v>
      </c>
      <c r="C7" s="21"/>
      <c r="D7" s="12"/>
    </row>
    <row r="8" ht="18" customHeight="1" spans="1:5">
      <c r="A8" s="18">
        <v>6</v>
      </c>
      <c r="B8" s="23" t="s">
        <v>978</v>
      </c>
      <c r="C8" s="21"/>
      <c r="D8" s="12"/>
    </row>
    <row r="9" ht="18" customHeight="1" spans="1:5">
      <c r="A9" s="18">
        <v>7</v>
      </c>
      <c r="B9" s="22" t="s">
        <v>979</v>
      </c>
      <c r="C9" s="21"/>
      <c r="D9" s="12"/>
    </row>
    <row r="10" ht="18" customHeight="1" spans="1:5">
      <c r="A10" s="18">
        <v>8</v>
      </c>
      <c r="B10" s="23" t="s">
        <v>980</v>
      </c>
      <c r="C10" s="21"/>
      <c r="D10" s="12"/>
    </row>
    <row r="11" ht="18" customHeight="1" spans="1:5">
      <c r="A11" s="18">
        <v>9</v>
      </c>
      <c r="B11" s="23" t="s">
        <v>981</v>
      </c>
      <c r="C11" s="21"/>
      <c r="D11" s="12"/>
    </row>
    <row r="12" ht="18" customHeight="1" spans="1:5">
      <c r="A12" s="18">
        <v>10</v>
      </c>
      <c r="B12" s="23" t="s">
        <v>982</v>
      </c>
      <c r="C12" s="21"/>
      <c r="D12" s="12"/>
    </row>
    <row r="13" ht="18" customHeight="1" spans="1:5">
      <c r="A13" s="18">
        <v>11</v>
      </c>
      <c r="B13" s="23" t="s">
        <v>983</v>
      </c>
      <c r="C13" s="21"/>
      <c r="D13" s="12"/>
    </row>
    <row r="14" ht="18" customHeight="1" spans="1:5">
      <c r="A14" s="18">
        <v>12</v>
      </c>
      <c r="B14" s="23" t="s">
        <v>984</v>
      </c>
      <c r="C14" s="21"/>
      <c r="D14" s="12"/>
    </row>
    <row r="15" ht="18" customHeight="1" spans="1:5">
      <c r="A15" s="18">
        <v>13</v>
      </c>
      <c r="B15" s="23" t="s">
        <v>985</v>
      </c>
      <c r="C15" s="21"/>
      <c r="D15" s="12"/>
    </row>
    <row r="16" ht="18" customHeight="1" spans="1:5">
      <c r="A16" s="18">
        <v>14</v>
      </c>
      <c r="B16" s="23" t="s">
        <v>986</v>
      </c>
      <c r="C16" s="21"/>
      <c r="D16" s="12"/>
    </row>
    <row r="17" ht="18" customHeight="1" spans="1:5">
      <c r="A17" s="18">
        <v>15</v>
      </c>
      <c r="B17" s="23" t="s">
        <v>987</v>
      </c>
      <c r="C17" s="21"/>
      <c r="D17" s="12"/>
    </row>
    <row r="18" ht="18" customHeight="1" spans="1:5">
      <c r="A18" s="18">
        <v>16</v>
      </c>
      <c r="B18" s="22" t="s">
        <v>988</v>
      </c>
      <c r="C18" s="21"/>
      <c r="D18" s="12"/>
    </row>
    <row r="19" ht="18" customHeight="1" spans="1:5">
      <c r="A19" s="18">
        <v>17</v>
      </c>
      <c r="B19" s="23" t="s">
        <v>989</v>
      </c>
      <c r="C19" s="21"/>
      <c r="D19" s="12"/>
    </row>
    <row r="20" ht="18" customHeight="1" spans="1:5">
      <c r="A20" s="18">
        <v>18</v>
      </c>
      <c r="B20" s="23" t="s">
        <v>990</v>
      </c>
      <c r="C20" s="21"/>
      <c r="D20" s="12"/>
    </row>
    <row r="21" ht="18" customHeight="1" spans="1:5">
      <c r="A21" s="18">
        <v>19</v>
      </c>
      <c r="B21" s="22" t="s">
        <v>991</v>
      </c>
      <c r="C21" s="21"/>
      <c r="D21" s="12"/>
      <c r="E21" s="11" t="s">
        <v>992</v>
      </c>
    </row>
    <row r="22" ht="18" customHeight="1" spans="1:5">
      <c r="A22" s="18">
        <v>20</v>
      </c>
      <c r="B22" s="23" t="s">
        <v>993</v>
      </c>
      <c r="C22" s="21"/>
      <c r="D22" s="12"/>
    </row>
    <row r="23" ht="18" customHeight="1" spans="1:5">
      <c r="A23" s="18">
        <v>21</v>
      </c>
      <c r="B23" s="23" t="s">
        <v>994</v>
      </c>
      <c r="C23" s="21"/>
      <c r="D23" s="12"/>
    </row>
    <row r="24" ht="18" customHeight="1" spans="1:5">
      <c r="A24" s="18">
        <v>22</v>
      </c>
      <c r="B24" s="23" t="s">
        <v>995</v>
      </c>
      <c r="C24" s="21"/>
      <c r="D24" s="12"/>
    </row>
    <row r="25" ht="18" customHeight="1" spans="1:5">
      <c r="A25" s="18">
        <v>23</v>
      </c>
      <c r="B25" s="22" t="s">
        <v>996</v>
      </c>
      <c r="C25" s="21"/>
      <c r="D25" s="12"/>
    </row>
    <row r="26" ht="18" customHeight="1" spans="1:5">
      <c r="A26" s="18">
        <v>24</v>
      </c>
      <c r="B26" s="23" t="s">
        <v>997</v>
      </c>
      <c r="C26" s="21"/>
      <c r="D26" s="12"/>
    </row>
    <row r="27" ht="18" customHeight="1" spans="1:5">
      <c r="A27" s="18">
        <v>25</v>
      </c>
      <c r="B27" s="23" t="s">
        <v>998</v>
      </c>
      <c r="C27" s="21"/>
      <c r="D27" s="12"/>
    </row>
    <row r="28" ht="18" customHeight="1" spans="1:5">
      <c r="A28" s="18">
        <v>26</v>
      </c>
      <c r="B28" s="23" t="s">
        <v>999</v>
      </c>
      <c r="C28" s="21"/>
      <c r="D28" s="12"/>
    </row>
    <row r="29" ht="18" customHeight="1" spans="1:5">
      <c r="A29" s="18">
        <v>27</v>
      </c>
      <c r="B29" s="23" t="s">
        <v>1000</v>
      </c>
      <c r="C29" s="21"/>
      <c r="D29" s="12"/>
    </row>
    <row r="30" ht="18" customHeight="1" spans="1:5">
      <c r="A30" s="18">
        <v>28</v>
      </c>
      <c r="B30" s="22" t="s">
        <v>1001</v>
      </c>
      <c r="C30" s="21"/>
      <c r="D30" s="12"/>
    </row>
    <row r="31" ht="18" customHeight="1" spans="1:5">
      <c r="A31" s="18">
        <v>29</v>
      </c>
      <c r="B31" s="23" t="s">
        <v>1002</v>
      </c>
      <c r="C31" s="21"/>
      <c r="D31" s="12"/>
    </row>
    <row r="32" ht="18" customHeight="1" spans="1:5">
      <c r="A32" s="18">
        <v>30</v>
      </c>
      <c r="B32" s="23" t="s">
        <v>1003</v>
      </c>
      <c r="C32" s="21"/>
      <c r="D32" s="12"/>
    </row>
    <row r="33" ht="18" customHeight="1" spans="1:5">
      <c r="A33" s="18">
        <v>31</v>
      </c>
      <c r="B33" s="23" t="s">
        <v>1004</v>
      </c>
      <c r="C33" s="21"/>
      <c r="D33" s="12"/>
    </row>
    <row r="34" ht="18" customHeight="1" spans="1:5">
      <c r="A34" s="18">
        <v>32</v>
      </c>
      <c r="B34" s="23" t="s">
        <v>1005</v>
      </c>
      <c r="C34" s="21"/>
      <c r="D34" s="12"/>
    </row>
    <row r="35" ht="18" customHeight="1" spans="1:5">
      <c r="A35" s="18">
        <v>33</v>
      </c>
      <c r="B35" s="23" t="s">
        <v>1006</v>
      </c>
      <c r="C35" s="21"/>
      <c r="D35" s="12"/>
    </row>
    <row r="36" ht="18" customHeight="1" spans="1:5">
      <c r="A36" s="18">
        <v>34</v>
      </c>
      <c r="B36" s="22" t="s">
        <v>1007</v>
      </c>
      <c r="C36" s="21"/>
      <c r="D36" s="12"/>
    </row>
    <row r="37" ht="18" customHeight="1" spans="1:5">
      <c r="A37" s="18">
        <v>35</v>
      </c>
      <c r="B37" s="19" t="s">
        <v>1008</v>
      </c>
      <c r="C37" s="21"/>
      <c r="D37" s="12"/>
    </row>
    <row r="38" ht="18" customHeight="1" spans="1:5">
      <c r="A38" s="18">
        <v>36</v>
      </c>
      <c r="B38" s="22" t="s">
        <v>1009</v>
      </c>
      <c r="C38" s="21"/>
      <c r="D38" s="12"/>
      <c r="E38" s="11" t="s">
        <v>1010</v>
      </c>
    </row>
    <row r="39" ht="18" customHeight="1" spans="1:5">
      <c r="A39" s="18">
        <v>37</v>
      </c>
      <c r="B39" s="22" t="s">
        <v>1011</v>
      </c>
      <c r="C39" s="21"/>
      <c r="D39" s="12"/>
      <c r="E39" s="11" t="s">
        <v>1010</v>
      </c>
    </row>
    <row r="40" ht="18" customHeight="1" spans="1:5">
      <c r="A40" s="18">
        <v>38</v>
      </c>
      <c r="B40" s="23" t="s">
        <v>1012</v>
      </c>
      <c r="C40" s="21"/>
      <c r="D40" s="12"/>
      <c r="E40" s="11" t="s">
        <v>1013</v>
      </c>
    </row>
    <row r="41" ht="18" customHeight="1" spans="1:5">
      <c r="A41" s="18">
        <v>39</v>
      </c>
      <c r="B41" s="22" t="s">
        <v>1014</v>
      </c>
      <c r="C41" s="21"/>
      <c r="D41" s="12"/>
      <c r="E41" s="11" t="s">
        <v>1015</v>
      </c>
    </row>
    <row r="42" ht="18" customHeight="1" spans="1:5">
      <c r="A42" s="18">
        <v>40</v>
      </c>
      <c r="B42" s="19" t="s">
        <v>1016</v>
      </c>
      <c r="C42" s="21"/>
      <c r="D42" s="12"/>
    </row>
    <row r="43" ht="18" customHeight="1" spans="1:5">
      <c r="A43" s="18">
        <v>41</v>
      </c>
      <c r="B43" s="22" t="s">
        <v>1017</v>
      </c>
      <c r="C43" s="21"/>
      <c r="D43" s="12"/>
    </row>
    <row r="44" ht="18" customHeight="1" spans="1:5">
      <c r="A44" s="18">
        <v>42</v>
      </c>
      <c r="B44" s="22" t="s">
        <v>1018</v>
      </c>
      <c r="C44" s="21"/>
      <c r="D44" s="12"/>
    </row>
    <row r="45" ht="18" customHeight="1" spans="1:5">
      <c r="A45" s="18">
        <v>43</v>
      </c>
      <c r="B45" s="19" t="s">
        <v>1019</v>
      </c>
      <c r="C45" s="21"/>
      <c r="D45" s="12"/>
    </row>
    <row r="46" ht="18" customHeight="1" spans="1:5">
      <c r="A46" s="18">
        <v>44</v>
      </c>
      <c r="B46" s="19" t="s">
        <v>1020</v>
      </c>
      <c r="C46" s="21"/>
      <c r="D46" s="12"/>
    </row>
    <row r="47" ht="18" customHeight="1" spans="1:5">
      <c r="A47" s="18">
        <v>45</v>
      </c>
      <c r="B47" s="19" t="s">
        <v>1021</v>
      </c>
      <c r="C47" s="21"/>
      <c r="D47" s="12"/>
    </row>
    <row r="48" ht="18" customHeight="1" spans="1:5">
      <c r="A48" s="18">
        <v>46</v>
      </c>
      <c r="B48" s="22" t="s">
        <v>1022</v>
      </c>
      <c r="C48" s="21"/>
      <c r="D48" s="12"/>
    </row>
    <row r="49" ht="18" customHeight="1" spans="1:5">
      <c r="A49" s="18">
        <v>47</v>
      </c>
      <c r="B49" s="19" t="s">
        <v>1023</v>
      </c>
      <c r="C49" s="21"/>
      <c r="D49" s="12"/>
    </row>
    <row r="50" ht="18" customHeight="1" spans="1:5">
      <c r="A50" s="18">
        <v>48</v>
      </c>
      <c r="B50" s="22" t="s">
        <v>1024</v>
      </c>
      <c r="C50" s="21"/>
      <c r="D50" s="12"/>
    </row>
    <row r="51" ht="18" customHeight="1" spans="1:5">
      <c r="A51" s="18">
        <v>49</v>
      </c>
      <c r="B51" s="22" t="s">
        <v>1025</v>
      </c>
      <c r="C51" s="21"/>
      <c r="D51" s="12"/>
    </row>
    <row r="52" ht="18" customHeight="1" spans="1:5">
      <c r="A52" s="18">
        <v>50</v>
      </c>
      <c r="B52" s="19" t="s">
        <v>1026</v>
      </c>
      <c r="C52" s="21"/>
      <c r="D52" s="12"/>
      <c r="E52" s="11" t="s">
        <v>1027</v>
      </c>
    </row>
    <row r="53" ht="18" customHeight="1" spans="1:5">
      <c r="A53" s="18">
        <v>51</v>
      </c>
      <c r="B53" s="19" t="s">
        <v>1028</v>
      </c>
      <c r="C53" s="24"/>
      <c r="D53" s="12"/>
    </row>
    <row r="54" ht="27" customHeight="1" spans="1:5">
      <c r="A54" s="25">
        <v>52</v>
      </c>
      <c r="B54" s="26" t="s">
        <v>1029</v>
      </c>
      <c r="C54" s="27"/>
      <c r="D54" s="12"/>
    </row>
    <row r="55" customHeight="1" spans="1:5">
      <c r="A55" s="28"/>
      <c r="B55" s="29"/>
      <c r="C55" s="12"/>
      <c r="D55" s="12"/>
    </row>
    <row r="56" ht="30" customHeight="1" spans="1:5">
      <c r="A56" s="30"/>
      <c r="B56" s="31"/>
      <c r="C56" s="31"/>
      <c r="D56" s="12"/>
    </row>
    <row r="57" ht="25" customHeight="1" spans="1:5">
      <c r="A57" s="12"/>
      <c r="B57" t="s">
        <v>1030</v>
      </c>
      <c r="C57"/>
      <c r="D57" s="12"/>
    </row>
    <row r="58" customHeight="1" spans="1:5">
      <c r="B58" t="s">
        <v>1031</v>
      </c>
      <c r="C58"/>
    </row>
    <row r="59" customHeight="1" spans="1:5">
      <c r="B59" t="s">
        <v>1032</v>
      </c>
      <c r="C59"/>
    </row>
    <row r="60" customHeight="1" spans="1:5">
      <c r="B60" t="s">
        <v>1033</v>
      </c>
      <c r="C60"/>
    </row>
    <row r="61" customHeight="1" spans="1:5">
      <c r="B61" t="s">
        <v>1034</v>
      </c>
      <c r="C61"/>
    </row>
    <row r="62" customHeight="1" spans="1:5">
      <c r="B62" t="s">
        <v>1035</v>
      </c>
      <c r="C62"/>
    </row>
    <row r="63" customHeight="1" spans="1:5">
      <c r="B63" t="s">
        <v>1036</v>
      </c>
      <c r="C63"/>
    </row>
    <row r="64" customHeight="1" spans="1:5">
      <c r="B64" t="s">
        <v>1037</v>
      </c>
      <c r="C64"/>
    </row>
    <row r="65" customHeight="1" spans="2:3">
      <c r="B65" t="s">
        <v>1038</v>
      </c>
      <c r="C65"/>
    </row>
    <row r="66" customHeight="1" spans="2:3">
      <c r="B66" t="s">
        <v>1039</v>
      </c>
      <c r="C66"/>
    </row>
    <row r="67" customHeight="1" spans="2:3">
      <c r="B67" t="s">
        <v>1040</v>
      </c>
      <c r="C67"/>
    </row>
    <row r="68" customHeight="1" spans="2:3">
      <c r="B68" t="s">
        <v>1041</v>
      </c>
      <c r="C68"/>
    </row>
    <row r="69" customHeight="1" spans="2:3">
      <c r="B69" t="s">
        <v>1042</v>
      </c>
      <c r="C69"/>
    </row>
    <row r="70" customHeight="1" spans="2:3">
      <c r="B70" t="s">
        <v>1043</v>
      </c>
      <c r="C70"/>
    </row>
    <row r="71" customHeight="1" spans="2:3">
      <c r="B71" t="s">
        <v>1044</v>
      </c>
      <c r="C71"/>
    </row>
    <row r="72" customHeight="1" spans="2:3">
      <c r="B72" t="s">
        <v>1045</v>
      </c>
      <c r="C72"/>
    </row>
    <row r="73" customHeight="1" spans="2:3">
      <c r="B73" t="s">
        <v>1046</v>
      </c>
      <c r="C73"/>
    </row>
    <row r="74" customHeight="1" spans="2:3">
      <c r="B74" t="s">
        <v>1047</v>
      </c>
      <c r="C74"/>
    </row>
    <row r="75" customHeight="1" spans="2:3">
      <c r="B75" t="s">
        <v>1048</v>
      </c>
      <c r="C75"/>
    </row>
    <row r="76" customHeight="1" spans="2:3">
      <c r="B76" t="s">
        <v>1049</v>
      </c>
      <c r="C76"/>
    </row>
    <row r="77" customHeight="1" spans="2:3">
      <c r="B77" t="s">
        <v>1050</v>
      </c>
      <c r="C77"/>
    </row>
    <row r="78" customHeight="1" spans="2:3">
      <c r="B78" t="s">
        <v>1051</v>
      </c>
      <c r="C78"/>
    </row>
    <row r="79" customHeight="1" spans="2:3">
      <c r="B79" t="s">
        <v>1052</v>
      </c>
      <c r="C79"/>
    </row>
    <row r="80" customHeight="1" spans="2:3">
      <c r="B80" t="s">
        <v>1053</v>
      </c>
      <c r="C80"/>
    </row>
    <row r="81" customHeight="1" spans="2:3">
      <c r="B81" t="s">
        <v>1054</v>
      </c>
      <c r="C81"/>
    </row>
    <row r="82" customHeight="1" spans="2:3">
      <c r="B82" t="s">
        <v>1055</v>
      </c>
      <c r="C82"/>
    </row>
    <row r="83" customHeight="1" spans="2:3">
      <c r="B83" t="s">
        <v>1056</v>
      </c>
      <c r="C83"/>
    </row>
    <row r="84" customHeight="1" spans="2:3">
      <c r="B84" t="s">
        <v>1057</v>
      </c>
      <c r="C84"/>
    </row>
    <row r="85" customHeight="1" spans="2:3">
      <c r="B85" t="s">
        <v>1058</v>
      </c>
      <c r="C85"/>
    </row>
    <row r="86" customHeight="1" spans="2:3">
      <c r="B86" t="s">
        <v>1059</v>
      </c>
      <c r="C86"/>
    </row>
    <row r="87" customHeight="1" spans="2:3">
      <c r="B87" t="s">
        <v>1060</v>
      </c>
      <c r="C87"/>
    </row>
    <row r="88" customHeight="1" spans="2:3">
      <c r="B88" t="s">
        <v>1061</v>
      </c>
      <c r="C88"/>
    </row>
    <row r="89" customHeight="1" spans="2:3">
      <c r="B89" t="s">
        <v>1062</v>
      </c>
      <c r="C89"/>
    </row>
    <row r="90" customHeight="1" spans="2:3">
      <c r="B90" t="s">
        <v>1063</v>
      </c>
      <c r="C90"/>
    </row>
    <row r="91" customHeight="1" spans="2:3">
      <c r="B91" t="s">
        <v>1064</v>
      </c>
      <c r="C91"/>
    </row>
    <row r="92" customHeight="1" spans="2:3">
      <c r="B92" t="s">
        <v>1065</v>
      </c>
      <c r="C92"/>
    </row>
    <row r="93" customHeight="1" spans="2:3">
      <c r="B93" t="s">
        <v>1066</v>
      </c>
      <c r="C93"/>
    </row>
    <row r="94" customHeight="1" spans="2:3">
      <c r="B94" t="s">
        <v>1067</v>
      </c>
      <c r="C94"/>
    </row>
    <row r="95" customHeight="1" spans="2:3">
      <c r="B95" t="s">
        <v>1068</v>
      </c>
      <c r="C95"/>
    </row>
    <row r="96" customHeight="1" spans="2:3">
      <c r="B96" t="s">
        <v>1069</v>
      </c>
      <c r="C96"/>
    </row>
    <row r="97" customHeight="1" spans="2:3">
      <c r="B97" t="s">
        <v>1070</v>
      </c>
      <c r="C97"/>
    </row>
    <row r="98" customHeight="1" spans="2:3">
      <c r="B98" t="s">
        <v>1071</v>
      </c>
      <c r="C98"/>
    </row>
    <row r="99" customHeight="1" spans="2:3">
      <c r="B99" t="s">
        <v>1072</v>
      </c>
      <c r="C99"/>
    </row>
    <row r="100" customHeight="1" spans="2:3">
      <c r="B100" t="s">
        <v>1073</v>
      </c>
      <c r="C100"/>
    </row>
    <row r="101" customHeight="1" spans="2:3">
      <c r="B101" t="s">
        <v>1074</v>
      </c>
      <c r="C101"/>
    </row>
    <row r="102" customHeight="1" spans="2:3">
      <c r="B102" t="s">
        <v>1075</v>
      </c>
      <c r="C102"/>
    </row>
    <row r="103" customHeight="1" spans="2:3">
      <c r="B103" t="s">
        <v>1076</v>
      </c>
      <c r="C103"/>
    </row>
    <row r="104" customHeight="1" spans="2:3">
      <c r="B104" t="s">
        <v>1077</v>
      </c>
      <c r="C104"/>
    </row>
    <row r="105" customHeight="1" spans="2:3">
      <c r="B105" t="s">
        <v>1078</v>
      </c>
      <c r="C105"/>
    </row>
    <row r="106" customHeight="1" spans="2:3">
      <c r="B106" t="s">
        <v>1079</v>
      </c>
      <c r="C106"/>
    </row>
    <row r="107" customHeight="1" spans="2:3">
      <c r="B107" t="s">
        <v>1080</v>
      </c>
      <c r="C107"/>
    </row>
    <row r="108" customHeight="1" spans="2:3">
      <c r="B108" t="s">
        <v>1081</v>
      </c>
      <c r="C108"/>
    </row>
    <row r="109" customHeight="1" spans="2:3">
      <c r="B109" t="s">
        <v>1082</v>
      </c>
      <c r="C109"/>
    </row>
    <row r="110" customHeight="1" spans="2:3">
      <c r="B110" t="s">
        <v>1083</v>
      </c>
      <c r="C110"/>
    </row>
    <row r="111" customHeight="1" spans="2:3">
      <c r="B111" t="s">
        <v>1084</v>
      </c>
      <c r="C111"/>
    </row>
    <row r="112" customHeight="1" spans="2:3">
      <c r="B112" t="s">
        <v>1085</v>
      </c>
      <c r="C112"/>
    </row>
    <row r="113" customHeight="1" spans="2:3">
      <c r="B113" t="s">
        <v>1086</v>
      </c>
      <c r="C113"/>
    </row>
    <row r="114" customHeight="1" spans="2:3">
      <c r="B114" t="s">
        <v>1087</v>
      </c>
      <c r="C114"/>
    </row>
    <row r="115" customHeight="1" spans="2:3">
      <c r="B115" t="s">
        <v>1088</v>
      </c>
      <c r="C115"/>
    </row>
    <row r="116" customHeight="1" spans="2:3">
      <c r="B116" t="s">
        <v>1089</v>
      </c>
      <c r="C116"/>
    </row>
    <row r="117" customHeight="1" spans="2:3">
      <c r="B117" t="s">
        <v>1090</v>
      </c>
      <c r="C117"/>
    </row>
    <row r="118" customHeight="1" spans="2:3">
      <c r="B118" t="s">
        <v>1091</v>
      </c>
      <c r="C118"/>
    </row>
    <row r="119" customHeight="1" spans="2:3">
      <c r="B119" t="s">
        <v>1092</v>
      </c>
      <c r="C119"/>
    </row>
    <row r="120" customHeight="1" spans="2:3">
      <c r="B120" t="s">
        <v>1093</v>
      </c>
      <c r="C120"/>
    </row>
    <row r="121" customHeight="1" spans="2:3">
      <c r="B121" t="s">
        <v>1094</v>
      </c>
      <c r="C121"/>
    </row>
    <row r="122" customHeight="1" spans="2:3">
      <c r="B122" t="s">
        <v>1095</v>
      </c>
      <c r="C122"/>
    </row>
    <row r="123" customHeight="1" spans="2:3">
      <c r="B123" t="s">
        <v>1096</v>
      </c>
      <c r="C123"/>
    </row>
    <row r="124" customHeight="1" spans="2:3">
      <c r="B124" t="s">
        <v>1097</v>
      </c>
      <c r="C124"/>
    </row>
    <row r="125" customHeight="1" spans="2:3">
      <c r="B125" t="s">
        <v>1098</v>
      </c>
      <c r="C125"/>
    </row>
    <row r="126" customHeight="1" spans="2:3">
      <c r="B126" t="s">
        <v>1099</v>
      </c>
      <c r="C126"/>
    </row>
    <row r="127" customHeight="1" spans="2:3">
      <c r="B127" t="s">
        <v>1100</v>
      </c>
      <c r="C127"/>
    </row>
    <row r="128" customHeight="1" spans="2:3">
      <c r="B128" t="s">
        <v>1101</v>
      </c>
      <c r="C128"/>
    </row>
    <row r="129" customHeight="1" spans="2:3">
      <c r="B129" t="s">
        <v>1102</v>
      </c>
      <c r="C129"/>
    </row>
    <row r="130" customHeight="1" spans="2:3">
      <c r="B130" t="s">
        <v>1103</v>
      </c>
      <c r="C130"/>
    </row>
  </sheetData>
  <mergeCells count="2">
    <mergeCell ref="A1:C1"/>
    <mergeCell ref="B56:C56"/>
  </mergeCells>
  <pageMargins left="0.67" right="0.67" top="0.72" bottom="0.72" header="0.29" footer="0.29"/>
  <pageSetup paperSize="9" scale="70"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Q13"/>
  <sheetViews>
    <sheetView workbookViewId="0">
      <selection activeCell="Q26" sqref="Q26"/>
    </sheetView>
  </sheetViews>
  <sheetFormatPr defaultColWidth="9.02884615384615" defaultRowHeight="16.8"/>
  <cols>
    <col min="1" max="1" width="4.92307692307692" customWidth="1"/>
    <col min="2" max="2" width="6.25" customWidth="1"/>
    <col min="3" max="3" width="6.11538461538461" customWidth="1"/>
    <col min="4" max="4" width="5.97115384615385" customWidth="1"/>
    <col min="6" max="6" width="8.90384615384615" customWidth="1"/>
    <col min="7" max="7" width="8.56730769230769" customWidth="1"/>
    <col min="8" max="8" width="20.1826923076923" customWidth="1"/>
    <col min="9" max="9" width="13.3557692307692" customWidth="1"/>
    <col min="10" max="13" width="13.4903846153846" customWidth="1"/>
    <col min="15" max="15" width="9.43269230769231" customWidth="1"/>
    <col min="16" max="16" width="8.83653846153846" customWidth="1"/>
    <col min="17" max="17" width="14.875" customWidth="1"/>
  </cols>
  <sheetData>
    <row r="2" ht="39" customHeight="1" spans="2:17">
      <c r="B2" s="7" t="s">
        <v>1104</v>
      </c>
      <c r="C2" s="7" t="s">
        <v>1105</v>
      </c>
      <c r="D2" s="7" t="s">
        <v>784</v>
      </c>
      <c r="E2" s="7" t="s">
        <v>825</v>
      </c>
      <c r="F2" s="7" t="s">
        <v>826</v>
      </c>
      <c r="G2" s="7" t="s">
        <v>827</v>
      </c>
      <c r="H2" s="7" t="s">
        <v>388</v>
      </c>
      <c r="I2" s="7" t="s">
        <v>828</v>
      </c>
      <c r="J2" s="7" t="s">
        <v>829</v>
      </c>
      <c r="K2" s="7" t="s">
        <v>832</v>
      </c>
      <c r="L2" s="7" t="s">
        <v>833</v>
      </c>
      <c r="M2" s="7" t="s">
        <v>1106</v>
      </c>
      <c r="N2" s="7" t="s">
        <v>830</v>
      </c>
      <c r="O2" s="7" t="s">
        <v>831</v>
      </c>
      <c r="P2" s="8" t="s">
        <v>1107</v>
      </c>
      <c r="Q2" s="8" t="s">
        <v>1108</v>
      </c>
    </row>
    <row r="3" ht="20" customHeight="1" spans="2:17">
      <c r="B3" s="9"/>
      <c r="C3" s="9"/>
      <c r="D3" s="9"/>
      <c r="E3" s="9"/>
      <c r="F3" s="9"/>
      <c r="G3" s="9"/>
      <c r="H3" s="9"/>
      <c r="I3" s="9"/>
      <c r="J3" s="9"/>
      <c r="K3" s="9"/>
      <c r="L3" s="9"/>
      <c r="M3" s="9"/>
      <c r="N3" s="9"/>
      <c r="O3" s="9"/>
      <c r="P3" s="9"/>
      <c r="Q3" s="9"/>
    </row>
    <row r="4" ht="20" customHeight="1" spans="2:17">
      <c r="B4" s="9"/>
      <c r="C4" s="9"/>
      <c r="D4" s="9"/>
      <c r="E4" s="9"/>
      <c r="F4" s="9"/>
      <c r="G4" s="9"/>
      <c r="H4" s="9"/>
      <c r="I4" s="9"/>
      <c r="J4" s="9"/>
      <c r="K4" s="9"/>
      <c r="L4" s="9"/>
      <c r="M4" s="9"/>
      <c r="N4" s="9"/>
      <c r="O4" s="9"/>
      <c r="P4" s="9"/>
      <c r="Q4" s="9"/>
    </row>
    <row r="5" ht="20" customHeight="1" spans="2:17">
      <c r="B5" s="9"/>
      <c r="C5" s="9"/>
      <c r="D5" s="9"/>
      <c r="E5" s="9"/>
      <c r="F5" s="9"/>
      <c r="G5" s="9"/>
      <c r="H5" s="9"/>
      <c r="I5" s="9"/>
      <c r="J5" s="9"/>
      <c r="K5" s="9"/>
      <c r="L5" s="9"/>
      <c r="M5" s="9"/>
      <c r="N5" s="9"/>
      <c r="O5" s="9"/>
      <c r="P5" s="9"/>
      <c r="Q5" s="9"/>
    </row>
    <row r="6" ht="20" customHeight="1" spans="2:17">
      <c r="B6" s="9"/>
      <c r="C6" s="9"/>
      <c r="D6" s="9"/>
      <c r="E6" s="9"/>
      <c r="F6" s="9"/>
      <c r="G6" s="9"/>
      <c r="H6" s="9"/>
      <c r="I6" s="9"/>
      <c r="J6" s="9"/>
      <c r="K6" s="9"/>
      <c r="L6" s="9"/>
      <c r="M6" s="9"/>
      <c r="N6" s="9"/>
      <c r="O6" s="9"/>
      <c r="P6" s="9"/>
      <c r="Q6" s="9"/>
    </row>
    <row r="7" ht="20" customHeight="1" spans="2:17">
      <c r="B7" s="9"/>
      <c r="C7" s="9"/>
      <c r="D7" s="9"/>
      <c r="E7" s="9"/>
      <c r="F7" s="9"/>
      <c r="G7" s="9"/>
      <c r="H7" s="9"/>
      <c r="I7" s="9"/>
      <c r="J7" s="9"/>
      <c r="K7" s="9"/>
      <c r="L7" s="9"/>
      <c r="M7" s="9"/>
      <c r="N7" s="9"/>
      <c r="O7" s="9"/>
      <c r="P7" s="9"/>
      <c r="Q7" s="9"/>
    </row>
    <row r="8" ht="20" customHeight="1" spans="2:17">
      <c r="B8" s="9"/>
      <c r="C8" s="9"/>
      <c r="D8" s="9"/>
      <c r="E8" s="9"/>
      <c r="F8" s="9"/>
      <c r="G8" s="9"/>
      <c r="H8" s="9"/>
      <c r="I8" s="9"/>
      <c r="J8" s="9"/>
      <c r="K8" s="9"/>
      <c r="L8" s="9"/>
      <c r="M8" s="9"/>
      <c r="N8" s="9"/>
      <c r="O8" s="9"/>
      <c r="P8" s="9"/>
      <c r="Q8" s="9"/>
    </row>
    <row r="9" ht="20" customHeight="1" spans="2:17">
      <c r="B9" s="9"/>
      <c r="C9" s="9"/>
      <c r="D9" s="9"/>
      <c r="E9" s="9"/>
      <c r="F9" s="9"/>
      <c r="G9" s="9"/>
      <c r="H9" s="9"/>
      <c r="I9" s="9"/>
      <c r="J9" s="9"/>
      <c r="K9" s="9"/>
      <c r="L9" s="9"/>
      <c r="M9" s="9"/>
      <c r="N9" s="9"/>
      <c r="O9" s="9"/>
      <c r="P9" s="9"/>
      <c r="Q9" s="9"/>
    </row>
    <row r="10" ht="20" customHeight="1" spans="2:17">
      <c r="B10" s="9"/>
      <c r="C10" s="9"/>
      <c r="D10" s="9"/>
      <c r="E10" s="9"/>
      <c r="F10" s="9"/>
      <c r="G10" s="9"/>
      <c r="H10" s="9"/>
      <c r="I10" s="9"/>
      <c r="J10" s="9"/>
      <c r="K10" s="9"/>
      <c r="L10" s="9"/>
      <c r="M10" s="9"/>
      <c r="N10" s="9"/>
      <c r="O10" s="9"/>
      <c r="P10" s="9"/>
      <c r="Q10" s="9"/>
    </row>
    <row r="11" ht="20" customHeight="1" spans="2:17">
      <c r="B11" s="9"/>
      <c r="C11" s="9"/>
      <c r="D11" s="9"/>
      <c r="E11" s="9"/>
      <c r="F11" s="9"/>
      <c r="G11" s="9"/>
      <c r="H11" s="9"/>
      <c r="I11" s="9"/>
      <c r="J11" s="9"/>
      <c r="K11" s="9"/>
      <c r="L11" s="9"/>
      <c r="M11" s="9"/>
      <c r="N11" s="9"/>
      <c r="O11" s="9"/>
      <c r="P11" s="9"/>
      <c r="Q11" s="9"/>
    </row>
    <row r="12" ht="20" customHeight="1" spans="2:17">
      <c r="B12" s="9"/>
      <c r="C12" s="9"/>
      <c r="D12" s="9"/>
      <c r="E12" s="9"/>
      <c r="F12" s="9"/>
      <c r="G12" s="9"/>
      <c r="H12" s="9"/>
      <c r="I12" s="9"/>
      <c r="J12" s="9"/>
      <c r="K12" s="9"/>
      <c r="L12" s="9"/>
      <c r="M12" s="9"/>
      <c r="N12" s="9"/>
      <c r="O12" s="9"/>
      <c r="P12" s="9"/>
      <c r="Q12" s="9"/>
    </row>
    <row r="13" ht="20" customHeight="1" spans="2:17">
      <c r="B13" s="9"/>
      <c r="C13" s="9"/>
      <c r="D13" s="9"/>
      <c r="E13" s="9"/>
      <c r="F13" s="9"/>
      <c r="G13" s="9"/>
      <c r="H13" s="9"/>
      <c r="I13" s="9"/>
      <c r="J13" s="9"/>
      <c r="K13" s="9"/>
      <c r="L13" s="9"/>
      <c r="M13" s="9"/>
      <c r="N13" s="9"/>
      <c r="O13" s="9"/>
      <c r="P13" s="9"/>
      <c r="Q13" s="9"/>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6"/>
  <sheetViews>
    <sheetView workbookViewId="0">
      <selection activeCell="G5" sqref="G5"/>
    </sheetView>
  </sheetViews>
  <sheetFormatPr defaultColWidth="9.02884615384615" defaultRowHeight="16.8"/>
  <cols>
    <col min="1" max="1" width="4.65384615384615" customWidth="1"/>
    <col min="2" max="2" width="12.4903846153846" customWidth="1"/>
    <col min="3" max="3" width="16.8653846153846" customWidth="1"/>
    <col min="4" max="4" width="13.4807692307692" customWidth="1"/>
    <col min="5" max="5" width="15.9423076923077" customWidth="1"/>
    <col min="6" max="6" width="13.4134615384615" customWidth="1"/>
    <col min="7" max="7" width="21.0480769230769" customWidth="1"/>
    <col min="8" max="8" width="12.8846153846154" customWidth="1"/>
    <col min="9" max="9" width="25.9519230769231" customWidth="1"/>
    <col min="10" max="10" width="13.6826923076923" customWidth="1"/>
    <col min="11" max="11" width="24.2307692307692" customWidth="1"/>
  </cols>
  <sheetData>
    <row r="2" ht="18" spans="2:10">
      <c r="B2" s="1" t="s">
        <v>560</v>
      </c>
      <c r="C2" s="1" t="s">
        <v>561</v>
      </c>
      <c r="D2" s="2" t="s">
        <v>562</v>
      </c>
      <c r="E2" s="2" t="s">
        <v>1109</v>
      </c>
      <c r="F2" s="3" t="s">
        <v>564</v>
      </c>
      <c r="G2" s="1" t="s">
        <v>658</v>
      </c>
      <c r="H2" s="1" t="s">
        <v>659</v>
      </c>
      <c r="I2" s="2"/>
      <c r="J2" s="3" t="s">
        <v>3</v>
      </c>
    </row>
    <row r="3" ht="17.6" spans="2:10">
      <c r="B3" s="4"/>
      <c r="C3" s="4"/>
      <c r="D3" s="4"/>
      <c r="E3" s="5"/>
      <c r="F3" s="4"/>
      <c r="G3" s="4" t="s">
        <v>1110</v>
      </c>
      <c r="H3" s="6"/>
      <c r="I3" s="4"/>
      <c r="J3" s="6"/>
    </row>
    <row r="4" ht="17.6" spans="2:10">
      <c r="B4" s="4"/>
      <c r="C4" s="4"/>
      <c r="E4" s="5"/>
      <c r="F4" s="4"/>
      <c r="G4" s="4"/>
      <c r="H4" s="6"/>
      <c r="I4" s="4"/>
      <c r="J4" s="6"/>
    </row>
    <row r="5" ht="17.6" spans="2:10">
      <c r="B5" s="4"/>
      <c r="C5" s="4"/>
      <c r="D5" s="4"/>
      <c r="E5" s="5"/>
      <c r="F5" s="4"/>
      <c r="G5" s="4"/>
      <c r="H5" s="6"/>
      <c r="I5" s="4"/>
      <c r="J5" s="6"/>
    </row>
    <row r="6" ht="17.6" spans="2:10">
      <c r="B6" s="4"/>
      <c r="C6" s="4"/>
      <c r="D6" s="4"/>
      <c r="E6" s="5"/>
      <c r="F6" s="4"/>
      <c r="G6" s="4"/>
      <c r="H6" s="6"/>
      <c r="I6" s="4"/>
      <c r="J6" s="6"/>
    </row>
    <row r="7" ht="17.6" spans="2:10">
      <c r="B7" s="4"/>
      <c r="C7" s="4"/>
      <c r="D7" s="4"/>
      <c r="E7" s="5"/>
      <c r="F7" s="4"/>
      <c r="G7" s="4"/>
      <c r="H7" s="6"/>
      <c r="I7" s="4"/>
      <c r="J7" s="6"/>
    </row>
    <row r="8" ht="17.6" spans="2:10">
      <c r="B8" s="4"/>
      <c r="C8" s="4"/>
      <c r="D8" s="4"/>
      <c r="E8" s="5"/>
      <c r="F8" s="4"/>
      <c r="G8" s="4"/>
      <c r="H8" s="6"/>
      <c r="I8" s="4"/>
      <c r="J8" s="6"/>
    </row>
    <row r="9" ht="17.6" spans="2:10">
      <c r="B9" s="4"/>
      <c r="C9" s="4"/>
      <c r="D9" s="4"/>
      <c r="E9" s="5"/>
      <c r="F9" s="4"/>
      <c r="G9" s="4"/>
      <c r="H9" s="6"/>
      <c r="I9" s="4"/>
      <c r="J9" s="6"/>
    </row>
    <row r="11" spans="2:10">
      <c r="B11" t="s">
        <v>442</v>
      </c>
    </row>
    <row r="12" ht="17" customHeight="1" spans="2:10">
      <c r="B12" t="s">
        <v>667</v>
      </c>
    </row>
    <row r="13" ht="17" customHeight="1" spans="2:10">
      <c r="B13" t="s">
        <v>668</v>
      </c>
    </row>
    <row r="14" ht="17" customHeight="1" spans="2:10">
      <c r="B14" t="s">
        <v>1111</v>
      </c>
    </row>
    <row r="15" ht="17" customHeight="1"/>
    <row r="16" ht="17" customHeight="1"/>
  </sheetData>
  <dataValidations count="4">
    <dataValidation type="textLength" operator="between" allowBlank="1" showInputMessage="1" showErrorMessage="1" error="最大长度不超过20" sqref="B3:D3 B4:C4 I3:I9 B5:D9">
      <formula1>2</formula1>
      <formula2>20</formula2>
    </dataValidation>
    <dataValidation type="textLength" operator="between" allowBlank="1" showInputMessage="1" showErrorMessage="1" sqref="E3:E9">
      <formula1>15</formula1>
      <formula2>18</formula2>
    </dataValidation>
    <dataValidation type="list" allowBlank="1" showInputMessage="1" showErrorMessage="1" sqref="G3:G9">
      <formula1>"否,是"</formula1>
    </dataValidation>
    <dataValidation type="list" allowBlank="1" showInputMessage="1" showErrorMessage="1" sqref="H3:H9">
      <formula1>"产研共用,研发专用"</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42" sqref="H42"/>
    </sheetView>
  </sheetViews>
  <sheetFormatPr defaultColWidth="9.02884615384615" defaultRowHeight="16.8"/>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G16"/>
  <sheetViews>
    <sheetView workbookViewId="0">
      <selection activeCell="N24" sqref="N24"/>
    </sheetView>
  </sheetViews>
  <sheetFormatPr defaultColWidth="9.02884615384615" defaultRowHeight="16.8" outlineLevelCol="6"/>
  <cols>
    <col min="2" max="2" width="56.5576923076923" customWidth="1"/>
  </cols>
  <sheetData>
    <row r="3" ht="21" customHeight="1"/>
    <row r="4" ht="21" customHeight="1" spans="2:7">
      <c r="B4" t="s">
        <v>1112</v>
      </c>
      <c r="G4" t="s">
        <v>1113</v>
      </c>
    </row>
    <row r="5" ht="21" customHeight="1" spans="2:7">
      <c r="B5" t="s">
        <v>1114</v>
      </c>
      <c r="G5" t="s">
        <v>1115</v>
      </c>
    </row>
    <row r="6" ht="21" customHeight="1" spans="2:7">
      <c r="B6" t="s">
        <v>1116</v>
      </c>
      <c r="G6" t="s">
        <v>1117</v>
      </c>
    </row>
    <row r="7" ht="21" customHeight="1" spans="2:7">
      <c r="B7" t="s">
        <v>1118</v>
      </c>
      <c r="G7" t="s">
        <v>1119</v>
      </c>
    </row>
    <row r="8" ht="21" customHeight="1" spans="2:7">
      <c r="B8" t="s">
        <v>1120</v>
      </c>
      <c r="C8" t="s">
        <v>1121</v>
      </c>
      <c r="G8" t="s">
        <v>1122</v>
      </c>
    </row>
    <row r="9" ht="21" customHeight="1" spans="2:7">
      <c r="B9" t="s">
        <v>1123</v>
      </c>
    </row>
    <row r="10" ht="21" customHeight="1" spans="2:7">
      <c r="B10" t="s">
        <v>1124</v>
      </c>
    </row>
    <row r="11" ht="21" customHeight="1" spans="2:7">
      <c r="B11" t="s">
        <v>1125</v>
      </c>
    </row>
    <row r="12" ht="21" customHeight="1" spans="2:7">
      <c r="B12" t="s">
        <v>1126</v>
      </c>
      <c r="G12" t="s">
        <v>1127</v>
      </c>
    </row>
    <row r="13" ht="21" customHeight="1" spans="2:7">
      <c r="G13" t="s">
        <v>1128</v>
      </c>
    </row>
    <row r="14" ht="21" customHeight="1"/>
    <row r="15" ht="21" customHeight="1"/>
    <row r="16" ht="21"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业务功能需求清单</vt:lpstr>
      <vt:lpstr>标准科目映射</vt:lpstr>
      <vt:lpstr>费用分摊规则</vt:lpstr>
      <vt:lpstr>限额计算规则</vt:lpstr>
      <vt:lpstr>研发项目信息</vt:lpstr>
      <vt:lpstr>资本化结转</vt:lpstr>
      <vt:lpstr>研发人员信息</vt:lpstr>
      <vt:lpstr>研发资产信息</vt:lpstr>
      <vt:lpstr>研发组织信息</vt:lpstr>
      <vt:lpstr>研发档案信息</vt:lpstr>
      <vt:lpstr>账簿管理</vt:lpstr>
      <vt:lpstr>对账管理</vt:lpstr>
      <vt:lpstr>结账管理</vt:lpstr>
      <vt:lpstr>生成辅助账</vt:lpstr>
      <vt:lpstr>其他费用限额计算</vt:lpstr>
      <vt:lpstr>2021版研发支出辅助账</vt:lpstr>
      <vt:lpstr>2021版研发支出辅助账汇总表</vt:lpstr>
      <vt:lpstr>研发费用加计扣除优惠明细表</vt:lpstr>
      <vt:lpstr>企业研发费用明细账表ODS</vt:lpstr>
      <vt:lpstr>月度折旧摊销明细</vt:lpstr>
      <vt:lpstr>设备运行记录表</vt:lpstr>
      <vt:lpstr>辅助账源数据类型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wxf10</dc:creator>
  <cp:lastModifiedBy>·</cp:lastModifiedBy>
  <dcterms:created xsi:type="dcterms:W3CDTF">2026-05-27T15:07:00Z</dcterms:created>
  <dcterms:modified xsi:type="dcterms:W3CDTF">2026-06-10T10:25:37Z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7807FC4C5E85531A21CB286AEC8EFBBE_43</vt:lpwstr>
  </property>
  <property fmtid="{D5CDD505-2E9C-101B-9397-08002B2CF9AE}" pid="3" name="KSOProductBuildVer">
    <vt:lpwstr>2052-12.1.26016.26016</vt:lpwstr>
  </property>
  <property fmtid="{D5CDD505-2E9C-101B-9397-08002B2CF9AE}" pid="4" name="CalculationRule">
    <vt:i4>1</vt:i4>
  </property>
</Properties>
</file>